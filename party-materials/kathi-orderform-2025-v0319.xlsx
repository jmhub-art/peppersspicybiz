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\kathis-parties\party-materials\"/>
    </mc:Choice>
  </mc:AlternateContent>
  <xr:revisionPtr revIDLastSave="0" documentId="13_ncr:1_{E2450CF2-C38A-4425-8413-1DA8BBC51F1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Order Form" sheetId="1" r:id="rId1"/>
    <sheet name="Order Form (2)" sheetId="2" r:id="rId2"/>
  </sheets>
  <definedNames>
    <definedName name="_xlnm.Print_Area" localSheetId="0">'Order Form'!$B$1:$R$61</definedName>
    <definedName name="_xlnm.Print_Area" localSheetId="1">'Order Form (2)'!$B$1:$R$58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E36" i="2"/>
  <c r="E35" i="2"/>
  <c r="E34" i="2"/>
  <c r="E33" i="2"/>
  <c r="E32" i="2"/>
  <c r="E31" i="2"/>
  <c r="E30" i="2"/>
  <c r="E29" i="2"/>
  <c r="E28" i="2"/>
  <c r="E9" i="2"/>
  <c r="E10" i="2"/>
  <c r="E11" i="2"/>
  <c r="O50" i="2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39" i="2"/>
  <c r="Q29" i="2"/>
  <c r="E40" i="2"/>
  <c r="E41" i="2"/>
  <c r="E42" i="2"/>
  <c r="E43" i="2"/>
  <c r="E44" i="2"/>
  <c r="E45" i="2"/>
  <c r="E46" i="2"/>
  <c r="E47" i="2"/>
  <c r="E4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30" i="2"/>
  <c r="Q31" i="2"/>
  <c r="Q32" i="2"/>
  <c r="Q33" i="2"/>
  <c r="Q34" i="2"/>
  <c r="Q35" i="2"/>
  <c r="K29" i="1"/>
  <c r="K28" i="1"/>
  <c r="K44" i="1"/>
  <c r="K35" i="1"/>
  <c r="E38" i="1"/>
  <c r="E39" i="1"/>
  <c r="K36" i="1"/>
  <c r="K37" i="1"/>
  <c r="K38" i="1"/>
  <c r="K39" i="1"/>
  <c r="K40" i="1"/>
  <c r="K41" i="1"/>
  <c r="K42" i="1"/>
  <c r="K43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40" i="1"/>
  <c r="E41" i="1"/>
  <c r="E42" i="1"/>
  <c r="E43" i="1"/>
  <c r="E44" i="1"/>
  <c r="E45" i="1"/>
  <c r="E46" i="1"/>
  <c r="E47" i="1"/>
  <c r="E48" i="1"/>
  <c r="E4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31" i="1"/>
  <c r="K32" i="1"/>
  <c r="K33" i="1"/>
  <c r="K34" i="1"/>
  <c r="K45" i="1"/>
  <c r="K46" i="1"/>
  <c r="K47" i="1"/>
  <c r="K48" i="1"/>
  <c r="K49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O52" i="2" l="1"/>
  <c r="O56" i="2" s="1"/>
</calcChain>
</file>

<file path=xl/sharedStrings.xml><?xml version="1.0" encoding="utf-8"?>
<sst xmlns="http://schemas.openxmlformats.org/spreadsheetml/2006/main" count="261" uniqueCount="151">
  <si>
    <t>Address</t>
  </si>
  <si>
    <t>City,State,Zip</t>
  </si>
  <si>
    <t>Date/Hostess</t>
  </si>
  <si>
    <t>Phone</t>
  </si>
  <si>
    <t>Email Address</t>
  </si>
  <si>
    <t>Sub-Total</t>
  </si>
  <si>
    <t>Sales Tax</t>
  </si>
  <si>
    <t>Handling Fee</t>
  </si>
  <si>
    <t>** for water submergable (shower &amp; bath)</t>
  </si>
  <si>
    <t>Name</t>
  </si>
  <si>
    <t>Lotions and Potions</t>
  </si>
  <si>
    <t xml:space="preserve">Now </t>
  </si>
  <si>
    <t>Later</t>
  </si>
  <si>
    <t xml:space="preserve">Romantic Accessories </t>
  </si>
  <si>
    <t xml:space="preserve">Toy Friends </t>
  </si>
  <si>
    <t xml:space="preserve">Pepper’s Parties T-shirt </t>
  </si>
  <si>
    <t>50 Shades Goddess Balls</t>
  </si>
  <si>
    <t xml:space="preserve">Crystal Eggs </t>
  </si>
  <si>
    <t xml:space="preserve">50 Shades Deluxe Wrist Tie </t>
  </si>
  <si>
    <t>50 Shades Blindfold</t>
  </si>
  <si>
    <t>Whip &amp; Tickle</t>
  </si>
  <si>
    <t xml:space="preserve">50 Shades Flogger </t>
  </si>
  <si>
    <t xml:space="preserve">S&amp;M Intro Kit </t>
  </si>
  <si>
    <t xml:space="preserve">I Like It Doggie Strap </t>
  </si>
  <si>
    <t>Liberator Jaz Pillow</t>
  </si>
  <si>
    <t xml:space="preserve">Love Swing </t>
  </si>
  <si>
    <t xml:space="preserve">Complete Manual of Positions </t>
  </si>
  <si>
    <t xml:space="preserve">Ride ‘Em Cowgirl </t>
  </si>
  <si>
    <t xml:space="preserve">Tickle His Pickle </t>
  </si>
  <si>
    <t xml:space="preserve">Tickle My Tush </t>
  </si>
  <si>
    <t xml:space="preserve">Toy Cleaner </t>
  </si>
  <si>
    <t xml:space="preserve">AA Procell Battery </t>
  </si>
  <si>
    <t xml:space="preserve">Silicone C Ring </t>
  </si>
  <si>
    <t xml:space="preserve">Tickler </t>
  </si>
  <si>
    <t xml:space="preserve">Crazy Girl Tush Plug </t>
  </si>
  <si>
    <t xml:space="preserve">Silver Bullet </t>
  </si>
  <si>
    <t xml:space="preserve">Rebel Toyfriend </t>
  </si>
  <si>
    <t xml:space="preserve">Sunny Toyfriend </t>
  </si>
  <si>
    <t xml:space="preserve">Bunny Toyfriend </t>
  </si>
  <si>
    <t xml:space="preserve">8 Speed Bullet </t>
  </si>
  <si>
    <t xml:space="preserve">Obsession Bullet </t>
  </si>
  <si>
    <t xml:space="preserve">Tango Bullet </t>
  </si>
  <si>
    <t xml:space="preserve">Remote Control Panties </t>
  </si>
  <si>
    <t xml:space="preserve">First Time Pleaser </t>
  </si>
  <si>
    <t xml:space="preserve">Starlet </t>
  </si>
  <si>
    <t xml:space="preserve">Lucid Dreams </t>
  </si>
  <si>
    <t>Now</t>
  </si>
  <si>
    <t xml:space="preserve">50 Shades Insatiable G </t>
  </si>
  <si>
    <t xml:space="preserve">Butterfly Kiss </t>
  </si>
  <si>
    <t xml:space="preserve">Paradise Glass Wand </t>
  </si>
  <si>
    <t xml:space="preserve">Pocket Pet </t>
  </si>
  <si>
    <t xml:space="preserve">Hummdinger </t>
  </si>
  <si>
    <t xml:space="preserve">50 Shades Yours/My Ring </t>
  </si>
  <si>
    <t xml:space="preserve">Big O2 </t>
  </si>
  <si>
    <t xml:space="preserve">Pink Bunny </t>
  </si>
  <si>
    <t xml:space="preserve">Pearl Butterfly </t>
  </si>
  <si>
    <t xml:space="preserve">Gold Rabbit </t>
  </si>
  <si>
    <t xml:space="preserve">Pico Kaya </t>
  </si>
  <si>
    <t xml:space="preserve">Eden’s Rabbit </t>
  </si>
  <si>
    <t xml:space="preserve">G Vibe </t>
  </si>
  <si>
    <t>Comments and Notes</t>
  </si>
  <si>
    <t xml:space="preserve"> </t>
  </si>
  <si>
    <t>Purchase Summary</t>
  </si>
  <si>
    <r>
      <t xml:space="preserve">     </t>
    </r>
    <r>
      <rPr>
        <i/>
        <sz val="11"/>
        <color theme="1"/>
        <rFont val="Calibri"/>
        <family val="2"/>
        <scheme val="minor"/>
      </rPr>
      <t xml:space="preserve"> I am interested in hosting a party!</t>
    </r>
  </si>
  <si>
    <r>
      <t xml:space="preserve">      </t>
    </r>
    <r>
      <rPr>
        <i/>
        <sz val="11"/>
        <color theme="1"/>
        <rFont val="Calibri"/>
        <family val="2"/>
        <scheme val="minor"/>
      </rPr>
      <t>Add me to your mailing list!</t>
    </r>
  </si>
  <si>
    <t>Amount</t>
  </si>
  <si>
    <t>Back Door Glide</t>
  </si>
  <si>
    <t xml:space="preserve">Cuffed Tied &amp; Satisfied </t>
  </si>
  <si>
    <t>Under the Bed Restraints</t>
  </si>
  <si>
    <t>G-link</t>
  </si>
  <si>
    <t>Breeze Bullet</t>
  </si>
  <si>
    <t>Tenga Egg</t>
  </si>
  <si>
    <t>We Vibe 4 Plus</t>
  </si>
  <si>
    <t>50 Shades Glass Wand</t>
  </si>
  <si>
    <t>Stainless Steel Wand</t>
  </si>
  <si>
    <t>Starlight Gems</t>
  </si>
  <si>
    <t>Gyrating Tongue</t>
  </si>
  <si>
    <t>Aroura</t>
  </si>
  <si>
    <t>Carrie B</t>
  </si>
  <si>
    <t>Gripper Wand</t>
  </si>
  <si>
    <t>Pepper's Parties</t>
  </si>
  <si>
    <t>Kathi Sherman, Owner</t>
  </si>
  <si>
    <t>601-477-2005</t>
  </si>
  <si>
    <t>www.peppersparties.com</t>
  </si>
  <si>
    <t>www.facebook.com/pepperspartiestoo</t>
  </si>
  <si>
    <t>Copyright, 2015 - Pepper's Parties</t>
  </si>
  <si>
    <t>Adults Only!    Novelty Use Only!</t>
  </si>
  <si>
    <t xml:space="preserve">visit our Mega Store at </t>
  </si>
  <si>
    <t xml:space="preserve">Our Retail Store </t>
  </si>
  <si>
    <t xml:space="preserve">124 Grand Dr. Suite 1030, Hattiesburg, MS </t>
  </si>
  <si>
    <t>601-264-2005</t>
  </si>
  <si>
    <t>Sensuelle Pointe</t>
  </si>
  <si>
    <t>Blair Curve</t>
  </si>
  <si>
    <t>We Vibe App Only</t>
  </si>
  <si>
    <t>Jessica Rabbit</t>
  </si>
  <si>
    <t>Glass Penis</t>
  </si>
  <si>
    <t>Womanizer</t>
  </si>
  <si>
    <t>TurboDinger</t>
  </si>
  <si>
    <t>Devilish Rabbit</t>
  </si>
  <si>
    <t>Visit our Store in Hattiesburg</t>
  </si>
  <si>
    <t>Pepper's Parties, Too!</t>
  </si>
  <si>
    <t>124 Grand Dr., Suite 1030</t>
  </si>
  <si>
    <t>Thank you!</t>
  </si>
  <si>
    <t>Femme Luxe Rabbit</t>
  </si>
  <si>
    <t>Coochy 3.4oz</t>
  </si>
  <si>
    <t>Coochy Body Oil Mist</t>
  </si>
  <si>
    <t>Coochy Intimate Feminine Spray</t>
  </si>
  <si>
    <t>CG Pole Polish</t>
  </si>
  <si>
    <t>Coochy 7.2oz</t>
  </si>
  <si>
    <t>Coochy After Shave Mist</t>
  </si>
  <si>
    <t>CG Blow Me</t>
  </si>
  <si>
    <t>CG Body Mist</t>
  </si>
  <si>
    <t>CG Lip Tease</t>
  </si>
  <si>
    <t>CG Oh My</t>
  </si>
  <si>
    <t>CG Oh Yes</t>
  </si>
  <si>
    <t>CG Tush Tease</t>
  </si>
  <si>
    <t>CG Tush Ease</t>
  </si>
  <si>
    <t>CG Oh Gee</t>
  </si>
  <si>
    <t>Pure Instinct Cologne</t>
  </si>
  <si>
    <t>Pure Instinct Body Spray</t>
  </si>
  <si>
    <t>Pure Instinct Lotion</t>
  </si>
  <si>
    <t>Pure Instinct Massage Candle</t>
  </si>
  <si>
    <t>Kama Sutra Sweet Almond 2oz</t>
  </si>
  <si>
    <t>High Climax</t>
  </si>
  <si>
    <t>Hemp Pleasure</t>
  </si>
  <si>
    <t>Forever Yours</t>
  </si>
  <si>
    <t>Sliquid Satin Natural Moisturizer</t>
  </si>
  <si>
    <t>Wicked Ultra Silicone</t>
  </si>
  <si>
    <t>Wicked Sensitive Aqua</t>
  </si>
  <si>
    <t>Wicked Hybrid</t>
  </si>
  <si>
    <t>China Shrink</t>
  </si>
  <si>
    <t>Comfortably Numb</t>
  </si>
  <si>
    <t>On for Her</t>
  </si>
  <si>
    <t>Erotic Dice</t>
  </si>
  <si>
    <t>365 Naughty Nights</t>
  </si>
  <si>
    <t>Silicone "O" Balls</t>
  </si>
  <si>
    <t>S&amp;M Beginner's Handcuff</t>
  </si>
  <si>
    <t>S&amp;M Day Collar</t>
  </si>
  <si>
    <t>Enchanted Heart Paddle</t>
  </si>
  <si>
    <t>Heart Beat Crop</t>
  </si>
  <si>
    <t>Red Silicone Heart Crop</t>
  </si>
  <si>
    <t>S&amp;M Intro Kit</t>
  </si>
  <si>
    <t>Under the Bed Restraint</t>
  </si>
  <si>
    <t>Doggie Strap</t>
  </si>
  <si>
    <t>Fetish Spreader Bar</t>
  </si>
  <si>
    <t>Bijoux Nipple Covers</t>
  </si>
  <si>
    <t>FSG Nothing but Sensation</t>
  </si>
  <si>
    <t>Chained Nipple Clamps</t>
  </si>
  <si>
    <t>Love Swing</t>
  </si>
  <si>
    <t>* for water resistant (shower)</t>
  </si>
  <si>
    <t>Copyright, 2019 - Pepper's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</si>
</sst>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Harrington"/>
      <family val="5"/>
    </font>
    <font>
      <sz val="20"/>
      <color theme="1"/>
      <name val="Schwarzwald"/>
    </font>
    <font>
      <sz val="11"/>
      <color theme="1"/>
      <name val="Arial"/>
      <family val="2"/>
    </font>
    <font>
      <sz val="12"/>
      <color theme="1"/>
      <name val="Schwarzwald"/>
    </font>
    <font>
      <sz val="18"/>
      <color theme="1"/>
      <name val="Rage Italic"/>
      <family val="4"/>
    </font>
    <font>
      <sz val="16"/>
      <color theme="1"/>
      <name val="Rage Italic"/>
      <family val="4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20"/>
      <color theme="1"/>
      <name val="Brush Script Std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double">
        <color theme="1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76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vertical="center"/>
    </xf>
    <xf numFmtId="0" fontId="4" fillId="2" borderId="10" xfId="0" applyFont="1" applyFill="1" applyBorder="1"/>
    <xf numFmtId="0" fontId="0" fillId="2" borderId="10" xfId="0" applyFill="1" applyBorder="1"/>
    <xf numFmtId="0" fontId="0" fillId="4" borderId="4" xfId="0" applyFill="1" applyBorder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0" fillId="2" borderId="13" xfId="0" applyFill="1" applyBorder="1"/>
    <xf numFmtId="2" fontId="4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2" fontId="2" fillId="2" borderId="13" xfId="0" applyNumberFormat="1" applyFont="1" applyFill="1" applyBorder="1" applyAlignment="1">
      <alignment horizontal="right"/>
    </xf>
    <xf numFmtId="2" fontId="2" fillId="2" borderId="10" xfId="0" applyNumberFormat="1" applyFont="1" applyFill="1" applyBorder="1" applyAlignment="1">
      <alignment horizontal="right"/>
    </xf>
    <xf numFmtId="0" fontId="4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1" xfId="0" applyFill="1" applyBorder="1"/>
    <xf numFmtId="0" fontId="4" fillId="2" borderId="14" xfId="0" applyFont="1" applyFill="1" applyBorder="1"/>
    <xf numFmtId="0" fontId="0" fillId="2" borderId="14" xfId="0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2" fontId="7" fillId="2" borderId="29" xfId="0" applyNumberFormat="1" applyFont="1" applyFill="1" applyBorder="1" applyAlignment="1">
      <alignment horizontal="center"/>
    </xf>
    <xf numFmtId="2" fontId="8" fillId="3" borderId="20" xfId="0" applyNumberFormat="1" applyFont="1" applyFill="1" applyBorder="1" applyAlignment="1">
      <alignment horizontal="right" vertical="center"/>
    </xf>
    <xf numFmtId="2" fontId="5" fillId="3" borderId="20" xfId="0" applyNumberFormat="1" applyFont="1" applyFill="1" applyBorder="1" applyAlignment="1">
      <alignment horizontal="right" vertical="center"/>
    </xf>
    <xf numFmtId="2" fontId="2" fillId="3" borderId="20" xfId="0" applyNumberFormat="1" applyFont="1" applyFill="1" applyBorder="1" applyAlignment="1">
      <alignment horizontal="right" vertical="center"/>
    </xf>
    <xf numFmtId="0" fontId="0" fillId="2" borderId="15" xfId="0" applyFill="1" applyBorder="1"/>
    <xf numFmtId="2" fontId="7" fillId="2" borderId="28" xfId="0" applyNumberFormat="1" applyFont="1" applyFill="1" applyBorder="1" applyAlignment="1">
      <alignment horizontal="center"/>
    </xf>
    <xf numFmtId="0" fontId="0" fillId="2" borderId="39" xfId="0" applyFill="1" applyBorder="1"/>
    <xf numFmtId="0" fontId="0" fillId="2" borderId="31" xfId="0" applyFill="1" applyBorder="1"/>
    <xf numFmtId="0" fontId="0" fillId="2" borderId="31" xfId="0" applyFill="1" applyBorder="1" applyAlignment="1">
      <alignment vertical="center"/>
    </xf>
    <xf numFmtId="0" fontId="0" fillId="2" borderId="45" xfId="0" applyFill="1" applyBorder="1"/>
    <xf numFmtId="2" fontId="0" fillId="2" borderId="46" xfId="0" applyNumberFormat="1" applyFill="1" applyBorder="1" applyAlignment="1">
      <alignment horizontal="right"/>
    </xf>
    <xf numFmtId="2" fontId="0" fillId="2" borderId="32" xfId="0" applyNumberFormat="1" applyFill="1" applyBorder="1" applyAlignment="1">
      <alignment horizontal="right"/>
    </xf>
    <xf numFmtId="2" fontId="0" fillId="2" borderId="32" xfId="0" applyNumberFormat="1" applyFill="1" applyBorder="1" applyAlignment="1">
      <alignment horizontal="right" vertical="center"/>
    </xf>
    <xf numFmtId="2" fontId="0" fillId="2" borderId="49" xfId="0" applyNumberFormat="1" applyFill="1" applyBorder="1" applyAlignment="1">
      <alignment horizontal="right"/>
    </xf>
    <xf numFmtId="2" fontId="7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13" xfId="0" applyNumberFormat="1" applyFont="1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2" fontId="2" fillId="2" borderId="12" xfId="0" applyNumberFormat="1" applyFont="1" applyFill="1" applyBorder="1" applyAlignment="1">
      <alignment horizontal="center"/>
    </xf>
    <xf numFmtId="1" fontId="8" fillId="3" borderId="20" xfId="0" applyNumberFormat="1" applyFont="1" applyFill="1" applyBorder="1" applyAlignment="1">
      <alignment horizontal="center" vertical="center"/>
    </xf>
    <xf numFmtId="1" fontId="7" fillId="2" borderId="28" xfId="0" applyNumberFormat="1" applyFont="1" applyFill="1" applyBorder="1" applyAlignment="1">
      <alignment horizontal="center"/>
    </xf>
    <xf numFmtId="1" fontId="7" fillId="2" borderId="29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2" borderId="13" xfId="0" applyNumberFormat="1" applyFont="1" applyFill="1" applyBorder="1" applyAlignment="1">
      <alignment horizontal="center"/>
    </xf>
    <xf numFmtId="1" fontId="2" fillId="2" borderId="10" xfId="0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35" xfId="0" applyNumberFormat="1" applyFill="1" applyBorder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1" fontId="8" fillId="3" borderId="21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/>
    </xf>
    <xf numFmtId="1" fontId="7" fillId="2" borderId="35" xfId="0" applyNumberFormat="1" applyFont="1" applyFill="1" applyBorder="1" applyAlignment="1">
      <alignment horizontal="center"/>
    </xf>
    <xf numFmtId="2" fontId="7" fillId="2" borderId="35" xfId="0" applyNumberFormat="1" applyFont="1" applyFill="1" applyBorder="1" applyAlignment="1">
      <alignment horizontal="center"/>
    </xf>
    <xf numFmtId="2" fontId="7" fillId="2" borderId="0" xfId="0" applyNumberFormat="1" applyFont="1" applyFill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/>
    </xf>
    <xf numFmtId="2" fontId="2" fillId="2" borderId="28" xfId="0" applyNumberFormat="1" applyFont="1" applyFill="1" applyBorder="1" applyAlignment="1">
      <alignment horizontal="center"/>
    </xf>
    <xf numFmtId="1" fontId="2" fillId="2" borderId="29" xfId="0" applyNumberFormat="1" applyFont="1" applyFill="1" applyBorder="1" applyAlignment="1">
      <alignment horizontal="center"/>
    </xf>
    <xf numFmtId="2" fontId="2" fillId="2" borderId="29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2" fontId="7" fillId="2" borderId="50" xfId="0" applyNumberFormat="1" applyFont="1" applyFill="1" applyBorder="1" applyAlignment="1">
      <alignment horizontal="center"/>
    </xf>
    <xf numFmtId="2" fontId="0" fillId="2" borderId="33" xfId="0" applyNumberFormat="1" applyFill="1" applyBorder="1" applyAlignment="1">
      <alignment horizontal="right"/>
    </xf>
    <xf numFmtId="2" fontId="7" fillId="2" borderId="34" xfId="0" applyNumberFormat="1" applyFont="1" applyFill="1" applyBorder="1" applyAlignment="1">
      <alignment horizontal="center"/>
    </xf>
    <xf numFmtId="2" fontId="8" fillId="3" borderId="2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0" fillId="2" borderId="53" xfId="0" applyFill="1" applyBorder="1"/>
    <xf numFmtId="0" fontId="0" fillId="2" borderId="39" xfId="0" applyFill="1" applyBorder="1" applyAlignment="1">
      <alignment vertical="center"/>
    </xf>
    <xf numFmtId="2" fontId="0" fillId="2" borderId="46" xfId="0" applyNumberFormat="1" applyFill="1" applyBorder="1" applyAlignment="1">
      <alignment horizontal="right" vertical="center"/>
    </xf>
    <xf numFmtId="1" fontId="2" fillId="2" borderId="28" xfId="0" applyNumberFormat="1" applyFont="1" applyFill="1" applyBorder="1" applyAlignment="1">
      <alignment horizontal="center" vertical="center"/>
    </xf>
    <xf numFmtId="2" fontId="2" fillId="2" borderId="28" xfId="0" applyNumberFormat="1" applyFont="1" applyFill="1" applyBorder="1" applyAlignment="1">
      <alignment horizontal="center" vertical="center"/>
    </xf>
    <xf numFmtId="1" fontId="7" fillId="2" borderId="28" xfId="0" applyNumberFormat="1" applyFont="1" applyFill="1" applyBorder="1" applyAlignment="1">
      <alignment horizontal="center" vertical="center"/>
    </xf>
    <xf numFmtId="2" fontId="7" fillId="2" borderId="28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2" fontId="0" fillId="2" borderId="45" xfId="0" applyNumberFormat="1" applyFill="1" applyBorder="1" applyAlignment="1">
      <alignment vertical="center"/>
    </xf>
    <xf numFmtId="2" fontId="0" fillId="2" borderId="49" xfId="0" applyNumberFormat="1" applyFill="1" applyBorder="1" applyAlignment="1">
      <alignment horizontal="right" vertical="center"/>
    </xf>
    <xf numFmtId="1" fontId="0" fillId="2" borderId="35" xfId="0" applyNumberFormat="1" applyFill="1" applyBorder="1" applyAlignment="1">
      <alignment horizontal="center" vertical="center"/>
    </xf>
    <xf numFmtId="2" fontId="7" fillId="2" borderId="50" xfId="0" applyNumberFormat="1" applyFont="1" applyFill="1" applyBorder="1" applyAlignment="1">
      <alignment horizontal="center" vertical="center"/>
    </xf>
    <xf numFmtId="1" fontId="2" fillId="2" borderId="29" xfId="0" applyNumberFormat="1" applyFont="1" applyFill="1" applyBorder="1" applyAlignment="1">
      <alignment horizontal="center" vertical="center"/>
    </xf>
    <xf numFmtId="2" fontId="2" fillId="2" borderId="29" xfId="0" applyNumberFormat="1" applyFont="1" applyFill="1" applyBorder="1" applyAlignment="1">
      <alignment horizontal="center" vertical="center"/>
    </xf>
    <xf numFmtId="1" fontId="7" fillId="2" borderId="29" xfId="0" applyNumberFormat="1" applyFont="1" applyFill="1" applyBorder="1" applyAlignment="1">
      <alignment horizontal="center" vertical="center"/>
    </xf>
    <xf numFmtId="2" fontId="7" fillId="2" borderId="29" xfId="0" applyNumberFormat="1" applyFont="1" applyFill="1" applyBorder="1" applyAlignment="1">
      <alignment horizontal="center" vertical="center"/>
    </xf>
    <xf numFmtId="1" fontId="0" fillId="2" borderId="29" xfId="0" applyNumberFormat="1" applyFill="1" applyBorder="1" applyAlignment="1">
      <alignment horizontal="center" vertical="center"/>
    </xf>
    <xf numFmtId="2" fontId="0" fillId="2" borderId="33" xfId="0" applyNumberFormat="1" applyFill="1" applyBorder="1" applyAlignment="1">
      <alignment horizontal="right" vertical="center"/>
    </xf>
    <xf numFmtId="0" fontId="0" fillId="2" borderId="53" xfId="0" applyFill="1" applyBorder="1" applyAlignment="1">
      <alignment vertical="center"/>
    </xf>
    <xf numFmtId="2" fontId="0" fillId="2" borderId="0" xfId="0" applyNumberFormat="1" applyFill="1" applyAlignment="1">
      <alignment horizontal="right" vertical="center"/>
    </xf>
    <xf numFmtId="0" fontId="0" fillId="2" borderId="41" xfId="0" applyFill="1" applyBorder="1" applyAlignment="1">
      <alignment vertical="center"/>
    </xf>
    <xf numFmtId="2" fontId="0" fillId="2" borderId="48" xfId="0" applyNumberFormat="1" applyFill="1" applyBorder="1" applyAlignment="1">
      <alignment horizontal="right" vertical="center"/>
    </xf>
    <xf numFmtId="1" fontId="7" fillId="2" borderId="34" xfId="0" applyNumberFormat="1" applyFont="1" applyFill="1" applyBorder="1" applyAlignment="1">
      <alignment horizontal="center" vertical="center"/>
    </xf>
    <xf numFmtId="2" fontId="7" fillId="2" borderId="34" xfId="0" applyNumberFormat="1" applyFont="1" applyFill="1" applyBorder="1" applyAlignment="1">
      <alignment horizontal="center" vertical="center"/>
    </xf>
    <xf numFmtId="0" fontId="0" fillId="2" borderId="45" xfId="0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2" fontId="7" fillId="2" borderId="35" xfId="0" applyNumberFormat="1" applyFont="1" applyFill="1" applyBorder="1" applyAlignment="1">
      <alignment horizontal="center" vertical="center"/>
    </xf>
    <xf numFmtId="1" fontId="0" fillId="2" borderId="34" xfId="0" applyNumberForma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/>
    </xf>
    <xf numFmtId="0" fontId="18" fillId="2" borderId="17" xfId="3" applyFill="1" applyBorder="1" applyAlignment="1">
      <alignment horizontal="center"/>
    </xf>
    <xf numFmtId="0" fontId="1" fillId="3" borderId="54" xfId="0" applyFont="1" applyFill="1" applyBorder="1" applyAlignment="1">
      <alignment vertical="center"/>
    </xf>
    <xf numFmtId="2" fontId="2" fillId="2" borderId="32" xfId="0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3" borderId="55" xfId="0" applyNumberFormat="1" applyFill="1" applyBorder="1" applyAlignment="1">
      <alignment horizontal="right" vertical="center"/>
    </xf>
    <xf numFmtId="1" fontId="8" fillId="3" borderId="55" xfId="0" applyNumberFormat="1" applyFont="1" applyFill="1" applyBorder="1" applyAlignment="1">
      <alignment horizontal="center" vertical="center"/>
    </xf>
    <xf numFmtId="1" fontId="8" fillId="3" borderId="56" xfId="0" applyNumberFormat="1" applyFont="1" applyFill="1" applyBorder="1" applyAlignment="1">
      <alignment horizontal="center" vertical="center"/>
    </xf>
    <xf numFmtId="2" fontId="0" fillId="2" borderId="31" xfId="0" applyNumberFormat="1" applyFill="1" applyBorder="1"/>
    <xf numFmtId="0" fontId="0" fillId="2" borderId="31" xfId="0" applyFill="1" applyBorder="1" applyAlignment="1">
      <alignment vertical="center" wrapText="1"/>
    </xf>
    <xf numFmtId="0" fontId="0" fillId="2" borderId="45" xfId="0" applyFill="1" applyBorder="1" applyAlignment="1">
      <alignment vertical="center" wrapText="1"/>
    </xf>
    <xf numFmtId="0" fontId="0" fillId="2" borderId="31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43" fontId="2" fillId="2" borderId="0" xfId="2" applyFont="1" applyFill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2" borderId="27" xfId="0" applyNumberForma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right"/>
    </xf>
    <xf numFmtId="0" fontId="3" fillId="2" borderId="23" xfId="0" applyFont="1" applyFill="1" applyBorder="1" applyAlignment="1">
      <alignment horizontal="right"/>
    </xf>
    <xf numFmtId="164" fontId="10" fillId="4" borderId="51" xfId="0" applyNumberFormat="1" applyFont="1" applyFill="1" applyBorder="1" applyAlignment="1">
      <alignment horizontal="center" vertical="center"/>
    </xf>
    <xf numFmtId="164" fontId="10" fillId="4" borderId="52" xfId="0" applyNumberFormat="1" applyFont="1" applyFill="1" applyBorder="1" applyAlignment="1">
      <alignment horizontal="center" vertical="center"/>
    </xf>
    <xf numFmtId="1" fontId="4" fillId="2" borderId="0" xfId="1" applyNumberFormat="1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8" fillId="4" borderId="7" xfId="3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8" fillId="4" borderId="4" xfId="3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1" fontId="8" fillId="3" borderId="9" xfId="0" applyNumberFormat="1" applyFont="1" applyFill="1" applyBorder="1" applyAlignment="1">
      <alignment horizontal="center" vertical="center"/>
    </xf>
    <xf numFmtId="1" fontId="8" fillId="3" borderId="55" xfId="0" applyNumberFormat="1" applyFont="1" applyFill="1" applyBorder="1" applyAlignment="1">
      <alignment horizontal="center" vertical="center"/>
    </xf>
    <xf numFmtId="1" fontId="8" fillId="3" borderId="58" xfId="0" applyNumberFormat="1" applyFont="1" applyFill="1" applyBorder="1" applyAlignment="1">
      <alignment horizontal="center" vertical="center"/>
    </xf>
    <xf numFmtId="1" fontId="8" fillId="3" borderId="56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right" vertic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500673</xdr:colOff>
      <xdr:row>50</xdr:row>
      <xdr:rowOff>97692</xdr:rowOff>
    </xdr:from>
    <xdr:to>
      <xdr:col>13</xdr:col>
      <xdr:colOff>850902</xdr:colOff>
      <xdr:row>50</xdr:row>
      <xdr:rowOff>115145</xdr:rowOff>
    </xdr:to>
    <xdr:pic>
      <xdr:nvPicPr>
        <xdr:cNvPr id="23" name="Picture 22" descr="thank you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10123365"/>
          <a:ext cx="1472184" cy="85480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8</xdr:row>
          <xdr:rowOff>47625</xdr:rowOff>
        </xdr:from>
        <xdr:to>
          <xdr:col>7</xdr:col>
          <xdr:colOff>180975</xdr:colOff>
          <xdr:row>8</xdr:row>
          <xdr:rowOff>180975</xdr:rowOff>
        </xdr:to>
        <xdr:sp macro="" textlink="">
          <xdr:nvSpPr>
            <xdr:cNvPr id="1026" name="Check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8</xdr:row>
          <xdr:rowOff>38100</xdr:rowOff>
        </xdr:from>
        <xdr:to>
          <xdr:col>13</xdr:col>
          <xdr:colOff>171450</xdr:colOff>
          <xdr:row>8</xdr:row>
          <xdr:rowOff>180975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500673</xdr:colOff>
      <xdr:row>49</xdr:row>
      <xdr:rowOff>97692</xdr:rowOff>
    </xdr:from>
    <xdr:to>
      <xdr:col>13</xdr:col>
      <xdr:colOff>715067</xdr:colOff>
      <xdr:row>50</xdr:row>
      <xdr:rowOff>17824</xdr:rowOff>
    </xdr:to>
    <xdr:pic>
      <xdr:nvPicPr>
        <xdr:cNvPr id="2" name="Picture 1" descr="thank you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8873" y="9622692"/>
          <a:ext cx="1457614" cy="174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47625</xdr:rowOff>
        </xdr:from>
        <xdr:to>
          <xdr:col>7</xdr:col>
          <xdr:colOff>180975</xdr:colOff>
          <xdr:row>6</xdr:row>
          <xdr:rowOff>180975</xdr:rowOff>
        </xdr:to>
        <xdr:sp macro="" textlink="">
          <xdr:nvSpPr>
            <xdr:cNvPr id="2049" name="CheckBox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6</xdr:row>
          <xdr:rowOff>38100</xdr:rowOff>
        </xdr:from>
        <xdr:to>
          <xdr:col>13</xdr:col>
          <xdr:colOff>171450</xdr:colOff>
          <xdr:row>6</xdr:row>
          <xdr:rowOff>180975</xdr:rowOff>
        </xdr:to>
        <xdr:sp macro="" textlink="">
          <xdr:nvSpPr>
            <xdr:cNvPr id="2050" name="CheckBox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facebook.com/pepperspartiestoo" TargetMode="External"/><Relationship Id="rId1" Type="http://schemas.openxmlformats.org/officeDocument/2006/relationships/hyperlink" Target="http://www.peppersparties.com/" TargetMode="External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hyperlink" Target="http://www.peppersparties.com/" TargetMode="External"/><Relationship Id="rId7" Type="http://schemas.openxmlformats.org/officeDocument/2006/relationships/control" Target="../activeX/activeX3.xml"/><Relationship Id="rId2" Type="http://schemas.openxmlformats.org/officeDocument/2006/relationships/hyperlink" Target="http://www.facebook.com/pepperspartiestoo" TargetMode="External"/><Relationship Id="rId1" Type="http://schemas.openxmlformats.org/officeDocument/2006/relationships/hyperlink" Target="http://www.peppersparties.com/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10" Type="http://schemas.openxmlformats.org/officeDocument/2006/relationships/image" Target="../media/image5.emf"/><Relationship Id="rId4" Type="http://schemas.openxmlformats.org/officeDocument/2006/relationships/printerSettings" Target="../printerSettings/printerSettings2.bin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61"/>
  <sheetViews>
    <sheetView tabSelected="1" zoomScale="115" zoomScaleNormal="115" workbookViewId="0">
      <selection activeCell="B61" sqref="B61"/>
    </sheetView>
  </sheetViews>
  <sheetFormatPr defaultRowHeight="15"/>
  <cols>
    <col min="1" max="1" width="0.85546875" style="1" customWidth="1"/>
    <col min="2" max="2" width="29.140625" style="2" customWidth="1"/>
    <col min="3" max="3" width="6" style="10" customWidth="1"/>
    <col min="4" max="4" width="4" style="43" customWidth="1"/>
    <col min="5" max="5" width="6.7109375" style="36" hidden="1" customWidth="1"/>
    <col min="6" max="6" width="4.28515625" style="43" customWidth="1"/>
    <col min="7" max="7" width="0.5703125" style="1" customWidth="1"/>
    <col min="8" max="8" width="24.42578125" style="1" customWidth="1"/>
    <col min="9" max="9" width="7" style="11" customWidth="1"/>
    <col min="10" max="10" width="4.140625" style="43" customWidth="1"/>
    <col min="11" max="11" width="6.7109375" style="36" hidden="1" customWidth="1"/>
    <col min="12" max="12" width="4.28515625" style="43" customWidth="1"/>
    <col min="13" max="13" width="0.5703125" style="1" customWidth="1"/>
    <col min="14" max="14" width="23.28515625" style="1" customWidth="1"/>
    <col min="15" max="15" width="7.140625" style="11" customWidth="1"/>
    <col min="16" max="16" width="3.7109375" style="43" customWidth="1"/>
    <col min="17" max="17" width="0.28515625" style="35" hidden="1" customWidth="1"/>
    <col min="18" max="18" width="4.140625" style="43" customWidth="1"/>
    <col min="19" max="16384" width="9.140625" style="1"/>
  </cols>
  <sheetData>
    <row r="1" spans="2:18" ht="6.75" customHeight="1"/>
    <row r="2" spans="2:18" ht="6.75" customHeight="1"/>
    <row r="3" spans="2:18">
      <c r="B3" s="144" t="s">
        <v>80</v>
      </c>
      <c r="C3" s="145"/>
      <c r="D3" s="145"/>
      <c r="E3" s="145"/>
      <c r="F3" s="146"/>
      <c r="H3" s="17" t="s">
        <v>9</v>
      </c>
      <c r="I3" s="108"/>
      <c r="J3" s="108"/>
      <c r="K3" s="108"/>
      <c r="L3" s="109"/>
      <c r="N3" s="17" t="s">
        <v>2</v>
      </c>
      <c r="O3" s="108"/>
      <c r="P3" s="108"/>
      <c r="Q3" s="108"/>
      <c r="R3" s="109"/>
    </row>
    <row r="4" spans="2:18">
      <c r="B4" s="147"/>
      <c r="C4" s="148"/>
      <c r="D4" s="148"/>
      <c r="E4" s="148"/>
      <c r="F4" s="149"/>
      <c r="H4" s="6"/>
      <c r="I4" s="111"/>
      <c r="J4" s="111"/>
      <c r="K4" s="111"/>
      <c r="L4" s="112"/>
      <c r="N4" s="6"/>
      <c r="O4" s="111"/>
      <c r="P4" s="111"/>
      <c r="Q4" s="111"/>
      <c r="R4" s="112"/>
    </row>
    <row r="5" spans="2:18" ht="15" customHeight="1">
      <c r="B5" s="150" t="s">
        <v>81</v>
      </c>
      <c r="C5" s="151"/>
      <c r="D5" s="151"/>
      <c r="E5" s="151"/>
      <c r="F5" s="152"/>
      <c r="H5" s="17" t="s">
        <v>0</v>
      </c>
      <c r="I5" s="108"/>
      <c r="J5" s="108"/>
      <c r="K5" s="108"/>
      <c r="L5" s="109"/>
      <c r="N5" s="17" t="s">
        <v>3</v>
      </c>
      <c r="O5" s="108"/>
      <c r="P5" s="108"/>
      <c r="Q5" s="108"/>
      <c r="R5" s="109"/>
    </row>
    <row r="6" spans="2:18" ht="15" customHeight="1">
      <c r="B6" s="153" t="s">
        <v>83</v>
      </c>
      <c r="C6" s="154"/>
      <c r="D6" s="154"/>
      <c r="E6" s="154"/>
      <c r="F6" s="155"/>
      <c r="H6" s="6"/>
      <c r="I6" s="111"/>
      <c r="J6" s="111"/>
      <c r="K6" s="111"/>
      <c r="L6" s="112"/>
      <c r="N6" s="6"/>
      <c r="O6" s="111"/>
      <c r="P6" s="111"/>
      <c r="Q6" s="111"/>
      <c r="R6" s="112"/>
    </row>
    <row r="7" spans="2:18" ht="17.25" customHeight="1">
      <c r="B7" s="156" t="s">
        <v>90</v>
      </c>
      <c r="C7" s="157"/>
      <c r="D7" s="157"/>
      <c r="E7" s="157"/>
      <c r="F7" s="158"/>
      <c r="H7" s="17" t="s">
        <v>1</v>
      </c>
      <c r="I7" s="108"/>
      <c r="J7" s="108"/>
      <c r="K7" s="108"/>
      <c r="L7" s="109"/>
      <c r="N7" s="17" t="s">
        <v>4</v>
      </c>
      <c r="O7" s="108"/>
      <c r="P7" s="108"/>
      <c r="Q7" s="108"/>
      <c r="R7" s="109"/>
    </row>
    <row r="8" spans="2:18" ht="15" customHeight="1">
      <c r="B8" s="159" t="s">
        <v>84</v>
      </c>
      <c r="C8" s="160"/>
      <c r="D8" s="160"/>
      <c r="E8" s="160"/>
      <c r="F8" s="161"/>
      <c r="H8" s="6"/>
      <c r="I8" s="111"/>
      <c r="J8" s="111"/>
      <c r="K8" s="111"/>
      <c r="L8" s="112"/>
      <c r="N8" s="6"/>
      <c r="O8" s="111"/>
      <c r="P8" s="111"/>
      <c r="Q8" s="111"/>
      <c r="R8" s="112"/>
    </row>
    <row r="9" spans="2:18" ht="19.5" customHeight="1" thickBot="1">
      <c r="H9" s="1" t="s">
        <v>63</v>
      </c>
      <c r="N9" s="1" t="s">
        <v>64</v>
      </c>
    </row>
    <row r="10" spans="2:18" s="3" customFormat="1" ht="20.100000000000001" customHeight="1" thickBot="1">
      <c r="B10" s="20" t="s">
        <v>10</v>
      </c>
      <c r="C10" s="22"/>
      <c r="D10" s="40" t="s">
        <v>11</v>
      </c>
      <c r="E10" s="64" t="s">
        <v>65</v>
      </c>
      <c r="F10" s="51" t="s">
        <v>12</v>
      </c>
      <c r="H10" s="20" t="s">
        <v>13</v>
      </c>
      <c r="I10" s="23"/>
      <c r="J10" s="40" t="s">
        <v>46</v>
      </c>
      <c r="K10" s="64" t="s">
        <v>65</v>
      </c>
      <c r="L10" s="51" t="s">
        <v>12</v>
      </c>
      <c r="M10" s="19"/>
      <c r="N10" s="20" t="s">
        <v>14</v>
      </c>
      <c r="O10" s="24"/>
      <c r="P10" s="40" t="s">
        <v>46</v>
      </c>
      <c r="Q10" s="64" t="s">
        <v>65</v>
      </c>
      <c r="R10" s="51" t="s">
        <v>12</v>
      </c>
    </row>
    <row r="11" spans="2:18" ht="15" customHeight="1" thickBot="1">
      <c r="B11" s="103" t="s">
        <v>108</v>
      </c>
      <c r="C11" s="32">
        <v>16.989999999999998</v>
      </c>
      <c r="D11" s="56"/>
      <c r="E11" s="57" t="e">
        <f>+#REF!*D11</f>
        <v>#REF!</v>
      </c>
      <c r="F11" s="56"/>
      <c r="H11" s="27" t="s">
        <v>133</v>
      </c>
      <c r="I11" s="31">
        <v>7.5</v>
      </c>
      <c r="J11" s="41"/>
      <c r="K11" s="26">
        <f>+I11*J11</f>
        <v>0</v>
      </c>
      <c r="L11" s="41"/>
      <c r="M11" s="18"/>
      <c r="N11" s="102" t="s">
        <v>73</v>
      </c>
      <c r="O11" s="62">
        <v>42.99</v>
      </c>
      <c r="P11" s="49"/>
      <c r="Q11" s="61">
        <f>+O16*P11</f>
        <v>0</v>
      </c>
      <c r="R11" s="49"/>
    </row>
    <row r="12" spans="2:18" ht="15" customHeight="1" thickBot="1">
      <c r="B12" s="103" t="s">
        <v>104</v>
      </c>
      <c r="C12" s="32">
        <v>9.5</v>
      </c>
      <c r="D12" s="58"/>
      <c r="E12" s="59">
        <f>+C11*D12</f>
        <v>0</v>
      </c>
      <c r="F12" s="58"/>
      <c r="H12" s="28" t="s">
        <v>134</v>
      </c>
      <c r="I12" s="32">
        <v>19.989999999999998</v>
      </c>
      <c r="J12" s="42"/>
      <c r="K12" s="21">
        <f>+I12*J12</f>
        <v>0</v>
      </c>
      <c r="L12" s="42"/>
      <c r="M12" s="18"/>
      <c r="N12" s="30" t="s">
        <v>47</v>
      </c>
      <c r="O12" s="34">
        <v>32.99</v>
      </c>
      <c r="P12" s="47"/>
      <c r="Q12" s="21">
        <f>+O17*P12</f>
        <v>0</v>
      </c>
      <c r="R12" s="47"/>
    </row>
    <row r="13" spans="2:18" ht="15" customHeight="1" thickBot="1">
      <c r="B13" s="103" t="s">
        <v>109</v>
      </c>
      <c r="C13" s="32">
        <v>11.99</v>
      </c>
      <c r="D13" s="58"/>
      <c r="E13" s="59">
        <f>+C12*D13</f>
        <v>0</v>
      </c>
      <c r="F13" s="58"/>
      <c r="H13" s="28" t="s">
        <v>135</v>
      </c>
      <c r="I13" s="32">
        <v>19.989999999999998</v>
      </c>
      <c r="J13" s="42"/>
      <c r="K13" s="21" t="e">
        <f>+#REF!*J13</f>
        <v>#REF!</v>
      </c>
      <c r="L13" s="42"/>
      <c r="M13" s="18"/>
      <c r="N13" s="28" t="s">
        <v>52</v>
      </c>
      <c r="O13" s="32">
        <v>18.989999999999998</v>
      </c>
      <c r="P13" s="47"/>
      <c r="Q13" s="21">
        <f t="shared" ref="Q13:Q17" si="0">+O19*P13</f>
        <v>0</v>
      </c>
      <c r="R13" s="47"/>
    </row>
    <row r="14" spans="2:18" ht="15" customHeight="1" thickBot="1">
      <c r="B14" s="103" t="s">
        <v>105</v>
      </c>
      <c r="C14" s="32">
        <v>15.5</v>
      </c>
      <c r="D14" s="58"/>
      <c r="E14" s="59">
        <f>+C13*D14</f>
        <v>0</v>
      </c>
      <c r="F14" s="58"/>
      <c r="H14" s="28" t="s">
        <v>136</v>
      </c>
      <c r="I14" s="32">
        <v>19.5</v>
      </c>
      <c r="J14" s="42"/>
      <c r="K14" s="21">
        <f>+I13*J14</f>
        <v>0</v>
      </c>
      <c r="L14" s="42"/>
      <c r="M14" s="18"/>
      <c r="N14" s="28" t="s">
        <v>53</v>
      </c>
      <c r="O14" s="32">
        <v>24.75</v>
      </c>
      <c r="P14" s="47"/>
      <c r="Q14" s="21">
        <f t="shared" si="0"/>
        <v>0</v>
      </c>
      <c r="R14" s="47"/>
    </row>
    <row r="15" spans="2:18" ht="15" customHeight="1" thickBot="1">
      <c r="B15" s="103" t="s">
        <v>106</v>
      </c>
      <c r="C15" s="32">
        <v>12.99</v>
      </c>
      <c r="D15" s="58"/>
      <c r="E15" s="59">
        <f>+C14*D15</f>
        <v>0</v>
      </c>
      <c r="F15" s="58"/>
      <c r="H15" s="28" t="s">
        <v>137</v>
      </c>
      <c r="I15" s="32">
        <v>17.989999999999998</v>
      </c>
      <c r="J15" s="42"/>
      <c r="K15" s="21">
        <f>+I14*J15</f>
        <v>0</v>
      </c>
      <c r="L15" s="42"/>
      <c r="M15" s="18"/>
      <c r="N15" s="28" t="s">
        <v>48</v>
      </c>
      <c r="O15" s="62">
        <v>26.5</v>
      </c>
      <c r="P15" s="47"/>
      <c r="Q15" s="21">
        <f t="shared" si="0"/>
        <v>0</v>
      </c>
      <c r="R15" s="47"/>
    </row>
    <row r="16" spans="2:18" ht="15" customHeight="1" thickBot="1">
      <c r="B16" s="103" t="s">
        <v>107</v>
      </c>
      <c r="C16" s="32">
        <v>14.99</v>
      </c>
      <c r="D16" s="58"/>
      <c r="E16" s="59">
        <f t="shared" ref="E16:E49" si="1">+C16*D16</f>
        <v>0</v>
      </c>
      <c r="F16" s="58"/>
      <c r="H16" s="28" t="s">
        <v>138</v>
      </c>
      <c r="I16" s="32">
        <v>21.5</v>
      </c>
      <c r="J16" s="42"/>
      <c r="K16" s="21">
        <f>+I15*J16</f>
        <v>0</v>
      </c>
      <c r="L16" s="42"/>
      <c r="M16" s="18"/>
      <c r="N16" s="30" t="s">
        <v>78</v>
      </c>
      <c r="O16" s="34">
        <v>36.99</v>
      </c>
      <c r="P16" s="47"/>
      <c r="Q16" s="21">
        <f t="shared" si="0"/>
        <v>0</v>
      </c>
      <c r="R16" s="47"/>
    </row>
    <row r="17" spans="2:18" ht="15" customHeight="1" thickBot="1">
      <c r="B17" s="103" t="s">
        <v>110</v>
      </c>
      <c r="C17" s="32">
        <v>14.99</v>
      </c>
      <c r="D17" s="58"/>
      <c r="E17" s="59">
        <f t="shared" si="1"/>
        <v>0</v>
      </c>
      <c r="F17" s="58"/>
      <c r="H17" s="28" t="s">
        <v>139</v>
      </c>
      <c r="I17" s="98">
        <v>10.99</v>
      </c>
      <c r="J17" s="42"/>
      <c r="K17" s="21">
        <f>+I16*J17</f>
        <v>0</v>
      </c>
      <c r="L17" s="42"/>
      <c r="M17" s="18"/>
      <c r="N17" s="28" t="s">
        <v>98</v>
      </c>
      <c r="O17" s="32">
        <v>99.99</v>
      </c>
      <c r="P17" s="47"/>
      <c r="Q17" s="21">
        <f t="shared" si="0"/>
        <v>0</v>
      </c>
      <c r="R17" s="47"/>
    </row>
    <row r="18" spans="2:18" ht="15" customHeight="1" thickBot="1">
      <c r="B18" s="103" t="s">
        <v>111</v>
      </c>
      <c r="C18" s="98">
        <v>14</v>
      </c>
      <c r="D18" s="58"/>
      <c r="E18" s="59" t="e">
        <f>+#REF!*D18</f>
        <v>#REF!</v>
      </c>
      <c r="F18" s="58"/>
      <c r="H18" s="28" t="s">
        <v>140</v>
      </c>
      <c r="I18" s="32">
        <v>18</v>
      </c>
      <c r="J18" s="42"/>
      <c r="K18" s="21">
        <f>+I18*J18</f>
        <v>0</v>
      </c>
      <c r="L18" s="42"/>
      <c r="M18" s="18"/>
      <c r="N18" s="28" t="s">
        <v>58</v>
      </c>
      <c r="O18" s="62">
        <v>89.99</v>
      </c>
      <c r="P18" s="47"/>
      <c r="Q18" s="21">
        <f>+O25*P18</f>
        <v>0</v>
      </c>
      <c r="R18" s="47"/>
    </row>
    <row r="19" spans="2:18" ht="15" customHeight="1" thickBot="1">
      <c r="B19" s="103" t="s">
        <v>112</v>
      </c>
      <c r="C19" s="32">
        <v>16.989999999999998</v>
      </c>
      <c r="D19" s="58"/>
      <c r="E19" s="59" t="e">
        <f>+#REF!*D19</f>
        <v>#REF!</v>
      </c>
      <c r="F19" s="58"/>
      <c r="H19" s="28" t="s">
        <v>141</v>
      </c>
      <c r="I19" s="32">
        <v>19.989999999999998</v>
      </c>
      <c r="J19" s="42"/>
      <c r="K19" s="21">
        <f>+I20*J19</f>
        <v>0</v>
      </c>
      <c r="L19" s="42"/>
      <c r="M19" s="18"/>
      <c r="N19" s="28" t="s">
        <v>103</v>
      </c>
      <c r="O19" s="32">
        <v>114.99</v>
      </c>
      <c r="P19" s="47"/>
      <c r="Q19" s="21">
        <f>+O27*P19</f>
        <v>0</v>
      </c>
      <c r="R19" s="47"/>
    </row>
    <row r="20" spans="2:18" ht="15" customHeight="1" thickBot="1">
      <c r="B20" s="103" t="s">
        <v>113</v>
      </c>
      <c r="C20" s="32">
        <v>18.989999999999998</v>
      </c>
      <c r="D20" s="58"/>
      <c r="E20" s="59">
        <f t="shared" ref="E20:E25" si="2">+C19*D20</f>
        <v>0</v>
      </c>
      <c r="F20" s="58"/>
      <c r="H20" s="28" t="s">
        <v>142</v>
      </c>
      <c r="I20" s="32">
        <v>59.99</v>
      </c>
      <c r="J20" s="42"/>
      <c r="K20" s="21">
        <f t="shared" ref="K20:K26" si="3">+I22*J20</f>
        <v>0</v>
      </c>
      <c r="L20" s="42"/>
      <c r="M20" s="18"/>
      <c r="N20" s="28" t="s">
        <v>59</v>
      </c>
      <c r="O20" s="32">
        <v>139.99</v>
      </c>
      <c r="P20" s="47"/>
      <c r="Q20" s="21">
        <f>+O28*P20</f>
        <v>0</v>
      </c>
      <c r="R20" s="47"/>
    </row>
    <row r="21" spans="2:18" ht="15" customHeight="1" thickBot="1">
      <c r="B21" s="103" t="s">
        <v>114</v>
      </c>
      <c r="C21" s="32">
        <v>18.989999999999998</v>
      </c>
      <c r="D21" s="58"/>
      <c r="E21" s="59">
        <f t="shared" si="2"/>
        <v>0</v>
      </c>
      <c r="F21" s="58"/>
      <c r="H21" s="28" t="s">
        <v>143</v>
      </c>
      <c r="I21" s="32">
        <v>18.989999999999998</v>
      </c>
      <c r="J21" s="42"/>
      <c r="K21" s="21">
        <f t="shared" si="3"/>
        <v>0</v>
      </c>
      <c r="L21" s="42"/>
      <c r="M21" s="18"/>
      <c r="N21" s="28" t="s">
        <v>95</v>
      </c>
      <c r="O21" s="32">
        <v>35.99</v>
      </c>
      <c r="P21" s="47"/>
      <c r="Q21" s="21">
        <f>+O29*P21</f>
        <v>0</v>
      </c>
      <c r="R21" s="47"/>
    </row>
    <row r="22" spans="2:18" ht="15" customHeight="1" thickBot="1">
      <c r="B22" s="103" t="s">
        <v>115</v>
      </c>
      <c r="C22" s="33">
        <v>12.5</v>
      </c>
      <c r="D22" s="58"/>
      <c r="E22" s="59">
        <f t="shared" si="2"/>
        <v>0</v>
      </c>
      <c r="F22" s="58"/>
      <c r="H22" s="28" t="s">
        <v>144</v>
      </c>
      <c r="I22" s="32">
        <v>35.99</v>
      </c>
      <c r="J22" s="42"/>
      <c r="K22" s="21">
        <f t="shared" si="3"/>
        <v>0</v>
      </c>
      <c r="L22" s="42"/>
      <c r="M22" s="18"/>
      <c r="N22" s="28" t="s">
        <v>76</v>
      </c>
      <c r="O22" s="32">
        <v>29.99</v>
      </c>
      <c r="P22" s="47"/>
      <c r="Q22" s="21">
        <f>+O26*P22</f>
        <v>0</v>
      </c>
      <c r="R22" s="47"/>
    </row>
    <row r="23" spans="2:18" ht="15" customHeight="1" thickBot="1">
      <c r="B23" s="103" t="s">
        <v>116</v>
      </c>
      <c r="C23" s="32">
        <v>14.99</v>
      </c>
      <c r="D23" s="58"/>
      <c r="E23" s="59">
        <f t="shared" si="2"/>
        <v>0</v>
      </c>
      <c r="F23" s="58"/>
      <c r="H23" s="28" t="s">
        <v>145</v>
      </c>
      <c r="I23" s="32">
        <v>15.99</v>
      </c>
      <c r="J23" s="42"/>
      <c r="K23" s="21">
        <f t="shared" si="3"/>
        <v>0</v>
      </c>
      <c r="L23" s="42"/>
      <c r="M23" s="18"/>
      <c r="N23" s="28" t="s">
        <v>94</v>
      </c>
      <c r="O23" s="32">
        <v>89.99</v>
      </c>
      <c r="P23" s="47"/>
      <c r="Q23" s="21">
        <f>+O30*P23</f>
        <v>0</v>
      </c>
      <c r="R23" s="47"/>
    </row>
    <row r="24" spans="2:18" ht="15" customHeight="1" thickBot="1">
      <c r="B24" s="103" t="s">
        <v>117</v>
      </c>
      <c r="C24" s="32">
        <v>18.989999999999998</v>
      </c>
      <c r="D24" s="58"/>
      <c r="E24" s="59">
        <f t="shared" si="2"/>
        <v>0</v>
      </c>
      <c r="F24" s="58"/>
      <c r="H24" s="28" t="s">
        <v>146</v>
      </c>
      <c r="I24" s="32">
        <v>15.99</v>
      </c>
      <c r="J24" s="42"/>
      <c r="K24" s="21">
        <f t="shared" si="3"/>
        <v>0</v>
      </c>
      <c r="L24" s="42"/>
      <c r="M24" s="18"/>
      <c r="N24" s="28" t="s">
        <v>49</v>
      </c>
      <c r="O24" s="98">
        <v>68.5</v>
      </c>
      <c r="P24" s="47"/>
      <c r="Q24" s="21">
        <f>+O32*P24</f>
        <v>0</v>
      </c>
      <c r="R24" s="47"/>
    </row>
    <row r="25" spans="2:18" ht="15" customHeight="1" thickBot="1">
      <c r="B25" s="103" t="s">
        <v>118</v>
      </c>
      <c r="C25" s="62">
        <v>18.989999999999998</v>
      </c>
      <c r="D25" s="58"/>
      <c r="E25" s="59">
        <f t="shared" si="2"/>
        <v>0</v>
      </c>
      <c r="F25" s="58"/>
      <c r="H25" s="28" t="s">
        <v>147</v>
      </c>
      <c r="I25" s="32">
        <v>11.99</v>
      </c>
      <c r="J25" s="42"/>
      <c r="K25" s="21">
        <f t="shared" si="3"/>
        <v>0</v>
      </c>
      <c r="L25" s="42"/>
      <c r="M25" s="18"/>
      <c r="N25" s="28" t="s">
        <v>57</v>
      </c>
      <c r="O25" s="32">
        <v>89</v>
      </c>
      <c r="P25" s="47"/>
      <c r="Q25" s="21">
        <f>+O18*P25</f>
        <v>0</v>
      </c>
      <c r="R25" s="47"/>
    </row>
    <row r="26" spans="2:18" ht="15" customHeight="1" thickBot="1">
      <c r="B26" s="103" t="s">
        <v>119</v>
      </c>
      <c r="C26" s="32">
        <v>12.99</v>
      </c>
      <c r="D26" s="58"/>
      <c r="E26" s="59">
        <f>+C26*D26</f>
        <v>0</v>
      </c>
      <c r="F26" s="58"/>
      <c r="H26" s="28" t="s">
        <v>148</v>
      </c>
      <c r="I26" s="32">
        <v>139</v>
      </c>
      <c r="J26" s="42"/>
      <c r="K26" s="21">
        <f t="shared" si="3"/>
        <v>0</v>
      </c>
      <c r="L26" s="42"/>
      <c r="M26" s="18"/>
      <c r="N26" s="28" t="s">
        <v>54</v>
      </c>
      <c r="O26" s="32">
        <v>49.99</v>
      </c>
      <c r="P26" s="47"/>
      <c r="Q26" s="21">
        <f>+I43*P26</f>
        <v>0</v>
      </c>
      <c r="R26" s="47"/>
    </row>
    <row r="27" spans="2:18" ht="15" customHeight="1" thickBot="1">
      <c r="B27" s="103" t="s">
        <v>120</v>
      </c>
      <c r="C27" s="32">
        <v>15.5</v>
      </c>
      <c r="D27" s="58"/>
      <c r="E27" s="59">
        <f>+C27*D27</f>
        <v>0</v>
      </c>
      <c r="F27" s="58"/>
      <c r="H27" s="28"/>
      <c r="I27" s="32"/>
      <c r="J27" s="42"/>
      <c r="K27" s="21">
        <f>+I19*J27</f>
        <v>0</v>
      </c>
      <c r="L27" s="42"/>
      <c r="M27" s="18"/>
      <c r="N27" s="28" t="s">
        <v>50</v>
      </c>
      <c r="O27" s="32">
        <v>27</v>
      </c>
      <c r="P27" s="47"/>
      <c r="Q27" s="21">
        <f>+I44*P27</f>
        <v>0</v>
      </c>
      <c r="R27" s="47"/>
    </row>
    <row r="28" spans="2:18" ht="15" customHeight="1" thickBot="1">
      <c r="B28" s="103" t="s">
        <v>121</v>
      </c>
      <c r="C28" s="32">
        <v>18.989999999999998</v>
      </c>
      <c r="D28" s="58"/>
      <c r="E28" s="59" t="e">
        <f>+#REF!*D28</f>
        <v>#REF!</v>
      </c>
      <c r="F28" s="58"/>
      <c r="H28" s="28"/>
      <c r="I28" s="32"/>
      <c r="J28" s="42"/>
      <c r="K28" s="21">
        <f>+I20*J28</f>
        <v>0</v>
      </c>
      <c r="L28" s="42"/>
      <c r="M28" s="18"/>
      <c r="N28" s="28" t="s">
        <v>74</v>
      </c>
      <c r="O28" s="32">
        <v>119</v>
      </c>
      <c r="P28" s="47"/>
      <c r="Q28" s="21">
        <f>+O13*P28</f>
        <v>0</v>
      </c>
      <c r="R28" s="47"/>
    </row>
    <row r="29" spans="2:18" ht="16.5" customHeight="1" thickBot="1">
      <c r="B29" s="103" t="s">
        <v>122</v>
      </c>
      <c r="C29" s="98">
        <v>8.99</v>
      </c>
      <c r="D29" s="58"/>
      <c r="E29" s="59">
        <f t="shared" ref="E29:E36" si="4">+C30*D29</f>
        <v>0</v>
      </c>
      <c r="F29" s="58"/>
      <c r="H29" s="28"/>
      <c r="I29" s="32"/>
      <c r="J29" s="42"/>
      <c r="K29" s="21">
        <f>+I21*J29</f>
        <v>0</v>
      </c>
      <c r="L29" s="42"/>
      <c r="M29" s="18"/>
      <c r="N29" s="28" t="s">
        <v>71</v>
      </c>
      <c r="O29" s="32">
        <v>12.5</v>
      </c>
      <c r="P29" s="47"/>
      <c r="Q29" s="21">
        <f>+O11*P29</f>
        <v>0</v>
      </c>
      <c r="R29" s="47"/>
    </row>
    <row r="30" spans="2:18" ht="15" customHeight="1" thickBot="1">
      <c r="B30" s="103" t="s">
        <v>123</v>
      </c>
      <c r="C30" s="32">
        <v>27.99</v>
      </c>
      <c r="D30" s="58"/>
      <c r="E30" s="59">
        <f t="shared" si="4"/>
        <v>0</v>
      </c>
      <c r="F30" s="58"/>
      <c r="H30" s="96" t="s">
        <v>14</v>
      </c>
      <c r="I30" s="99"/>
      <c r="J30" s="100" t="s">
        <v>46</v>
      </c>
      <c r="K30" s="64" t="s">
        <v>65</v>
      </c>
      <c r="L30" s="101" t="s">
        <v>12</v>
      </c>
      <c r="M30" s="18"/>
      <c r="N30" s="28" t="s">
        <v>97</v>
      </c>
      <c r="O30" s="32">
        <v>9.99</v>
      </c>
      <c r="P30" s="47"/>
      <c r="Q30" s="21">
        <f>+O15*P30</f>
        <v>0</v>
      </c>
      <c r="R30" s="47"/>
    </row>
    <row r="31" spans="2:18" ht="15" customHeight="1" thickBot="1">
      <c r="B31" s="103" t="s">
        <v>124</v>
      </c>
      <c r="C31" s="32">
        <v>24.99</v>
      </c>
      <c r="D31" s="58"/>
      <c r="E31" s="59">
        <f t="shared" si="4"/>
        <v>0</v>
      </c>
      <c r="F31" s="58"/>
      <c r="H31" s="30" t="s">
        <v>39</v>
      </c>
      <c r="I31" s="34">
        <v>32.99</v>
      </c>
      <c r="J31" s="53"/>
      <c r="K31" s="54">
        <f t="shared" ref="K31:K37" si="5">+I31*J31</f>
        <v>0</v>
      </c>
      <c r="L31" s="53"/>
      <c r="M31" s="18"/>
      <c r="N31" s="28" t="s">
        <v>72</v>
      </c>
      <c r="O31" s="98">
        <v>179</v>
      </c>
      <c r="P31" s="47"/>
      <c r="Q31" s="21" t="e">
        <f>+#REF!*P31</f>
        <v>#REF!</v>
      </c>
      <c r="R31" s="47"/>
    </row>
    <row r="32" spans="2:18" ht="15" customHeight="1" thickBot="1">
      <c r="B32" s="103" t="s">
        <v>125</v>
      </c>
      <c r="C32" s="32">
        <v>9.5</v>
      </c>
      <c r="D32" s="58"/>
      <c r="E32" s="59">
        <f t="shared" si="4"/>
        <v>0</v>
      </c>
      <c r="F32" s="58"/>
      <c r="H32" s="28" t="s">
        <v>31</v>
      </c>
      <c r="I32" s="32">
        <v>1.5</v>
      </c>
      <c r="J32" s="42"/>
      <c r="K32" s="54">
        <f t="shared" si="5"/>
        <v>0</v>
      </c>
      <c r="L32" s="42"/>
      <c r="M32" s="18"/>
      <c r="N32" s="28" t="s">
        <v>93</v>
      </c>
      <c r="O32" s="32">
        <v>149.99</v>
      </c>
      <c r="P32" s="47"/>
      <c r="Q32" s="21" t="e">
        <f>+#REF!*P32</f>
        <v>#REF!</v>
      </c>
      <c r="R32" s="47"/>
    </row>
    <row r="33" spans="2:18" ht="15" customHeight="1" thickBot="1">
      <c r="B33" s="103" t="s">
        <v>126</v>
      </c>
      <c r="C33" s="33">
        <v>16.989999999999998</v>
      </c>
      <c r="D33" s="58"/>
      <c r="E33" s="59">
        <f t="shared" si="4"/>
        <v>0</v>
      </c>
      <c r="F33" s="58"/>
      <c r="H33" s="28" t="s">
        <v>77</v>
      </c>
      <c r="I33" s="32">
        <v>34.99</v>
      </c>
      <c r="J33" s="42"/>
      <c r="K33" s="54">
        <f t="shared" si="5"/>
        <v>0</v>
      </c>
      <c r="L33" s="42"/>
      <c r="M33" s="18"/>
      <c r="N33" s="28" t="s">
        <v>96</v>
      </c>
      <c r="O33" s="32">
        <v>189</v>
      </c>
      <c r="P33" s="47"/>
      <c r="Q33" s="21" t="e">
        <f>+#REF!*P33</f>
        <v>#REF!</v>
      </c>
      <c r="R33" s="47"/>
    </row>
    <row r="34" spans="2:18" ht="15" customHeight="1" thickBot="1">
      <c r="B34" s="103" t="s">
        <v>127</v>
      </c>
      <c r="C34" s="32">
        <v>18.989999999999998</v>
      </c>
      <c r="D34" s="58"/>
      <c r="E34" s="59">
        <f t="shared" si="4"/>
        <v>0</v>
      </c>
      <c r="F34" s="58"/>
      <c r="H34" s="28" t="s">
        <v>92</v>
      </c>
      <c r="I34" s="32">
        <v>29.99</v>
      </c>
      <c r="J34" s="42"/>
      <c r="K34" s="54">
        <f t="shared" si="5"/>
        <v>0</v>
      </c>
      <c r="L34" s="42"/>
      <c r="M34" s="18"/>
      <c r="N34" s="28"/>
      <c r="O34" s="97"/>
      <c r="P34" s="47"/>
      <c r="Q34" s="21" t="e">
        <f>+#REF!*P34</f>
        <v>#REF!</v>
      </c>
      <c r="R34" s="47"/>
    </row>
    <row r="35" spans="2:18" ht="15" customHeight="1" thickBot="1">
      <c r="B35" s="103" t="s">
        <v>128</v>
      </c>
      <c r="C35" s="32">
        <v>19.989999999999998</v>
      </c>
      <c r="D35" s="58"/>
      <c r="E35" s="59">
        <f t="shared" si="4"/>
        <v>0</v>
      </c>
      <c r="F35" s="58"/>
      <c r="H35" s="28" t="s">
        <v>70</v>
      </c>
      <c r="I35" s="32">
        <v>19.989999999999998</v>
      </c>
      <c r="J35" s="42"/>
      <c r="K35" s="54">
        <f t="shared" si="5"/>
        <v>0</v>
      </c>
      <c r="L35" s="42"/>
      <c r="M35" s="18"/>
      <c r="N35" s="28"/>
      <c r="O35" s="97"/>
      <c r="P35" s="47"/>
      <c r="Q35" s="21" t="e">
        <f>+#REF!*P35</f>
        <v>#REF!</v>
      </c>
      <c r="R35" s="47"/>
    </row>
    <row r="36" spans="2:18" ht="15" customHeight="1" thickBot="1">
      <c r="B36" s="103" t="s">
        <v>129</v>
      </c>
      <c r="C36" s="62">
        <v>16.989999999999998</v>
      </c>
      <c r="D36" s="58"/>
      <c r="E36" s="59">
        <f t="shared" si="4"/>
        <v>0</v>
      </c>
      <c r="F36" s="58"/>
      <c r="H36" s="28" t="s">
        <v>34</v>
      </c>
      <c r="I36" s="32">
        <v>12.5</v>
      </c>
      <c r="J36" s="42"/>
      <c r="K36" s="54">
        <f t="shared" si="5"/>
        <v>0</v>
      </c>
      <c r="L36" s="42"/>
      <c r="M36" s="18"/>
      <c r="N36" s="66"/>
      <c r="P36" s="48"/>
      <c r="Q36" s="63" t="e">
        <f>+#REF!*P36</f>
        <v>#REF!</v>
      </c>
      <c r="R36" s="48"/>
    </row>
    <row r="37" spans="2:18" ht="15" customHeight="1" thickBot="1">
      <c r="B37" s="103" t="s">
        <v>66</v>
      </c>
      <c r="C37" s="32">
        <v>25.99</v>
      </c>
      <c r="D37" s="58"/>
      <c r="E37" s="59">
        <f>+C25*D37</f>
        <v>0</v>
      </c>
      <c r="F37" s="58"/>
      <c r="H37" s="28" t="s">
        <v>43</v>
      </c>
      <c r="I37" s="32">
        <v>18.95</v>
      </c>
      <c r="J37" s="42"/>
      <c r="K37" s="54">
        <f t="shared" si="5"/>
        <v>0</v>
      </c>
      <c r="L37" s="42"/>
      <c r="M37" s="18"/>
      <c r="N37" s="127"/>
      <c r="O37" s="128"/>
      <c r="P37" s="129"/>
      <c r="Q37" s="130"/>
      <c r="R37" s="131"/>
    </row>
    <row r="38" spans="2:18" ht="15" customHeight="1" thickBot="1">
      <c r="B38" s="103" t="s">
        <v>130</v>
      </c>
      <c r="C38" s="32">
        <v>16.989999999999998</v>
      </c>
      <c r="D38" s="58"/>
      <c r="E38" s="59" t="e">
        <f>+#REF!*D38</f>
        <v>#REF!</v>
      </c>
      <c r="F38" s="58"/>
      <c r="H38" s="28" t="s">
        <v>45</v>
      </c>
      <c r="I38" s="32">
        <v>33.99</v>
      </c>
      <c r="J38" s="42"/>
      <c r="K38" s="54" t="e">
        <f>+#REF!*J38</f>
        <v>#REF!</v>
      </c>
      <c r="L38" s="42"/>
      <c r="M38" s="18"/>
      <c r="N38" s="132"/>
      <c r="O38" s="133"/>
      <c r="P38" s="134"/>
      <c r="Q38" s="135"/>
      <c r="R38" s="136"/>
    </row>
    <row r="39" spans="2:18" ht="15" customHeight="1" thickBot="1">
      <c r="B39" s="103" t="s">
        <v>131</v>
      </c>
      <c r="C39" s="32">
        <v>10.5</v>
      </c>
      <c r="D39" s="58"/>
      <c r="E39" s="59" t="e">
        <f>+#REF!*D39</f>
        <v>#REF!</v>
      </c>
      <c r="F39" s="58"/>
      <c r="H39" s="28" t="s">
        <v>40</v>
      </c>
      <c r="I39" s="32">
        <v>37.5</v>
      </c>
      <c r="J39" s="42"/>
      <c r="K39" s="54" t="e">
        <f>+#REF!*J39</f>
        <v>#REF!</v>
      </c>
      <c r="L39" s="42"/>
      <c r="M39" s="18"/>
      <c r="N39" s="132"/>
      <c r="O39" s="133"/>
      <c r="P39" s="134"/>
      <c r="Q39" s="135"/>
      <c r="R39" s="136"/>
    </row>
    <row r="40" spans="2:18" ht="15" customHeight="1" thickBot="1">
      <c r="B40" s="104" t="s">
        <v>132</v>
      </c>
      <c r="C40" s="98">
        <v>26.99</v>
      </c>
      <c r="D40" s="58"/>
      <c r="E40" s="59" t="e">
        <f>+#REF!*D40</f>
        <v>#REF!</v>
      </c>
      <c r="F40" s="58"/>
      <c r="H40" s="28" t="s">
        <v>42</v>
      </c>
      <c r="I40" s="32">
        <v>79</v>
      </c>
      <c r="J40" s="42"/>
      <c r="K40" s="54" t="e">
        <f>+#REF!*J40</f>
        <v>#REF!</v>
      </c>
      <c r="L40" s="42"/>
      <c r="M40" s="18"/>
      <c r="N40" s="137"/>
      <c r="O40" s="138"/>
      <c r="P40" s="139"/>
      <c r="Q40" s="140"/>
      <c r="R40" s="141"/>
    </row>
    <row r="41" spans="2:18" ht="15" customHeight="1" thickBot="1">
      <c r="B41" s="103"/>
      <c r="C41" s="32"/>
      <c r="D41" s="58"/>
      <c r="E41" s="59" t="e">
        <f>+#REF!*D41</f>
        <v>#REF!</v>
      </c>
      <c r="F41" s="58"/>
      <c r="H41" s="28" t="s">
        <v>91</v>
      </c>
      <c r="I41" s="32">
        <v>89.95</v>
      </c>
      <c r="J41" s="42"/>
      <c r="K41" s="54">
        <f>+I38*J41</f>
        <v>0</v>
      </c>
      <c r="L41" s="42"/>
      <c r="M41" s="18"/>
      <c r="N41" s="90"/>
      <c r="O41" s="75"/>
      <c r="P41" s="76"/>
      <c r="Q41" s="92"/>
      <c r="R41" s="76"/>
    </row>
    <row r="42" spans="2:18" ht="15" customHeight="1" thickBot="1">
      <c r="B42" s="103"/>
      <c r="C42" s="32"/>
      <c r="D42" s="58"/>
      <c r="E42" s="59">
        <f t="shared" si="1"/>
        <v>0</v>
      </c>
      <c r="F42" s="58"/>
      <c r="H42" s="28" t="s">
        <v>32</v>
      </c>
      <c r="I42" s="32">
        <v>9.99</v>
      </c>
      <c r="J42" s="42"/>
      <c r="K42" s="54">
        <f>+I39*J42</f>
        <v>0</v>
      </c>
      <c r="L42" s="42"/>
      <c r="M42" s="18"/>
      <c r="N42" s="29"/>
      <c r="O42" s="33"/>
      <c r="P42" s="82"/>
      <c r="Q42" s="81"/>
      <c r="R42" s="82"/>
    </row>
    <row r="43" spans="2:18" ht="15" customHeight="1" thickBot="1">
      <c r="B43" s="103"/>
      <c r="C43" s="32"/>
      <c r="D43" s="58"/>
      <c r="E43" s="59">
        <f t="shared" si="1"/>
        <v>0</v>
      </c>
      <c r="F43" s="58"/>
      <c r="H43" s="28" t="s">
        <v>35</v>
      </c>
      <c r="I43" s="32">
        <v>14.5</v>
      </c>
      <c r="J43" s="42"/>
      <c r="K43" s="54">
        <f>+I40*J43</f>
        <v>0</v>
      </c>
      <c r="L43" s="42"/>
      <c r="M43" s="18"/>
      <c r="N43" s="29"/>
      <c r="O43" s="33"/>
      <c r="P43" s="82"/>
      <c r="Q43" s="81"/>
      <c r="R43" s="82"/>
    </row>
    <row r="44" spans="2:18" ht="15" customHeight="1" thickBot="1">
      <c r="B44" s="103"/>
      <c r="C44" s="32"/>
      <c r="D44" s="58"/>
      <c r="E44" s="59">
        <f t="shared" si="1"/>
        <v>0</v>
      </c>
      <c r="F44" s="58"/>
      <c r="H44" s="28" t="s">
        <v>44</v>
      </c>
      <c r="I44" s="62">
        <v>49.99</v>
      </c>
      <c r="J44" s="42"/>
      <c r="K44" s="54">
        <f>+I41*J44</f>
        <v>0</v>
      </c>
      <c r="L44" s="42"/>
      <c r="M44" s="18"/>
      <c r="N44" s="29"/>
      <c r="O44" s="33"/>
      <c r="P44" s="82"/>
      <c r="Q44" s="81"/>
      <c r="R44" s="82"/>
    </row>
    <row r="45" spans="2:18" ht="15" customHeight="1" thickBot="1">
      <c r="B45" s="103"/>
      <c r="C45" s="32"/>
      <c r="D45" s="58"/>
      <c r="E45" s="59">
        <f t="shared" si="1"/>
        <v>0</v>
      </c>
      <c r="F45" s="58"/>
      <c r="H45" s="28" t="s">
        <v>75</v>
      </c>
      <c r="I45" s="32">
        <v>29.99</v>
      </c>
      <c r="J45" s="42"/>
      <c r="K45" s="54">
        <f>+I42*J45</f>
        <v>0</v>
      </c>
      <c r="L45" s="42"/>
      <c r="M45" s="18"/>
      <c r="N45" s="29"/>
      <c r="O45" s="33"/>
      <c r="P45" s="82"/>
      <c r="Q45" s="81"/>
      <c r="R45" s="82"/>
    </row>
    <row r="46" spans="2:18" ht="15" customHeight="1" thickBot="1">
      <c r="B46" s="103"/>
      <c r="C46" s="32"/>
      <c r="D46" s="58"/>
      <c r="E46" s="59">
        <f t="shared" si="1"/>
        <v>0</v>
      </c>
      <c r="F46" s="58"/>
      <c r="H46" s="28" t="s">
        <v>33</v>
      </c>
      <c r="I46" s="32">
        <v>10.35</v>
      </c>
      <c r="J46" s="42"/>
      <c r="K46" s="54">
        <f>+I45*J46</f>
        <v>0</v>
      </c>
      <c r="L46" s="42"/>
      <c r="M46" s="18"/>
      <c r="N46" s="29"/>
      <c r="O46" s="33"/>
      <c r="P46" s="82"/>
      <c r="Q46" s="81"/>
      <c r="R46" s="82"/>
    </row>
    <row r="47" spans="2:18" ht="15" customHeight="1" thickBot="1">
      <c r="B47" s="103"/>
      <c r="C47" s="32"/>
      <c r="D47" s="58"/>
      <c r="E47" s="59">
        <f t="shared" si="1"/>
        <v>0</v>
      </c>
      <c r="F47" s="58"/>
      <c r="H47" s="28" t="s">
        <v>30</v>
      </c>
      <c r="I47" s="32">
        <v>6.9</v>
      </c>
      <c r="J47" s="42"/>
      <c r="K47" s="54">
        <f>+I46*J47</f>
        <v>0</v>
      </c>
      <c r="L47" s="42"/>
      <c r="M47" s="18"/>
      <c r="N47" s="29"/>
      <c r="O47" s="33"/>
      <c r="P47" s="82"/>
      <c r="Q47" s="81"/>
      <c r="R47" s="82"/>
    </row>
    <row r="48" spans="2:18" ht="15" customHeight="1" thickBot="1">
      <c r="B48" s="103"/>
      <c r="C48" s="62"/>
      <c r="D48" s="58"/>
      <c r="E48" s="59">
        <f t="shared" si="1"/>
        <v>0</v>
      </c>
      <c r="F48" s="58"/>
      <c r="H48" s="28"/>
      <c r="I48" s="32"/>
      <c r="J48" s="42"/>
      <c r="K48" s="54">
        <f>+O12*J48</f>
        <v>0</v>
      </c>
      <c r="L48" s="42"/>
      <c r="M48" s="18"/>
      <c r="N48" s="105" t="s">
        <v>149</v>
      </c>
      <c r="O48" s="106"/>
      <c r="P48" s="107"/>
      <c r="Q48" s="107"/>
      <c r="R48" s="107"/>
    </row>
    <row r="49" spans="2:18" ht="15" customHeight="1" thickBot="1">
      <c r="B49" s="103"/>
      <c r="C49" s="62"/>
      <c r="D49" s="58"/>
      <c r="E49" s="59">
        <f t="shared" si="1"/>
        <v>0</v>
      </c>
      <c r="F49" s="58"/>
      <c r="H49" s="28"/>
      <c r="I49" s="32"/>
      <c r="J49" s="42"/>
      <c r="K49" s="54">
        <f>+O14*J49</f>
        <v>0</v>
      </c>
      <c r="L49" s="42"/>
      <c r="M49" s="18"/>
      <c r="N49" s="105" t="s">
        <v>8</v>
      </c>
      <c r="O49" s="106"/>
      <c r="P49" s="107"/>
      <c r="Q49" s="107"/>
      <c r="R49" s="107"/>
    </row>
    <row r="50" spans="2:18" s="7" customFormat="1" ht="20.100000000000001" customHeight="1" thickBot="1">
      <c r="B50" s="113" t="s">
        <v>60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 t="s">
        <v>62</v>
      </c>
      <c r="O50" s="114"/>
      <c r="P50" s="114"/>
      <c r="Q50" s="114"/>
      <c r="R50" s="115"/>
    </row>
    <row r="51" spans="2:18" ht="9.75" customHeight="1">
      <c r="B51" s="14"/>
      <c r="H51" s="9"/>
      <c r="I51" s="12"/>
      <c r="J51" s="44"/>
      <c r="K51" s="37"/>
      <c r="L51" s="44"/>
      <c r="M51" s="9"/>
      <c r="N51" s="122" t="s">
        <v>5</v>
      </c>
      <c r="O51" s="116"/>
      <c r="P51" s="116"/>
      <c r="Q51" s="116"/>
      <c r="R51" s="117"/>
    </row>
    <row r="52" spans="2:18" ht="15" customHeight="1" thickBot="1">
      <c r="B52" s="15" t="s">
        <v>99</v>
      </c>
      <c r="H52" s="5"/>
      <c r="I52" s="13"/>
      <c r="J52" s="45"/>
      <c r="K52" s="39"/>
      <c r="L52" s="52"/>
      <c r="M52" s="5"/>
      <c r="N52" s="122"/>
      <c r="O52" s="118"/>
      <c r="P52" s="118"/>
      <c r="Q52" s="118"/>
      <c r="R52" s="119"/>
    </row>
    <row r="53" spans="2:18" ht="14.25" customHeight="1" thickBot="1">
      <c r="B53" s="15" t="s">
        <v>100</v>
      </c>
      <c r="H53" s="5"/>
      <c r="I53" s="13"/>
      <c r="J53" s="46"/>
      <c r="L53" s="126"/>
      <c r="M53" s="25"/>
      <c r="N53" s="122" t="s">
        <v>6</v>
      </c>
      <c r="O53" s="120"/>
      <c r="P53" s="120"/>
      <c r="Q53" s="120"/>
      <c r="R53" s="121"/>
    </row>
    <row r="54" spans="2:18" ht="12" customHeight="1" thickBot="1">
      <c r="B54" s="15" t="s">
        <v>101</v>
      </c>
      <c r="H54" s="142" t="s">
        <v>102</v>
      </c>
      <c r="I54" s="13"/>
      <c r="J54" s="46"/>
      <c r="L54" s="126"/>
      <c r="M54" s="25"/>
      <c r="N54" s="122"/>
      <c r="O54" s="120"/>
      <c r="P54" s="120"/>
      <c r="Q54" s="120"/>
      <c r="R54" s="121"/>
    </row>
    <row r="55" spans="2:18" ht="14.25" customHeight="1" thickBot="1">
      <c r="B55" s="15" t="s">
        <v>90</v>
      </c>
      <c r="H55" s="143"/>
      <c r="I55" s="13"/>
      <c r="J55" s="45"/>
      <c r="K55" s="37"/>
      <c r="L55" s="44"/>
      <c r="M55" s="5"/>
      <c r="N55" s="122" t="s">
        <v>7</v>
      </c>
      <c r="O55" s="120">
        <v>2.5</v>
      </c>
      <c r="P55" s="120"/>
      <c r="Q55" s="120"/>
      <c r="R55" s="121"/>
    </row>
    <row r="56" spans="2:18" ht="9.9499999999999993" customHeight="1" thickBot="1">
      <c r="B56" s="15"/>
      <c r="H56" s="4"/>
      <c r="I56" s="13"/>
      <c r="J56" s="45"/>
      <c r="K56" s="38"/>
      <c r="L56" s="45"/>
      <c r="M56" s="5"/>
      <c r="N56" s="123"/>
      <c r="O56" s="120"/>
      <c r="P56" s="120"/>
      <c r="Q56" s="120"/>
      <c r="R56" s="121"/>
    </row>
    <row r="57" spans="2:18" ht="8.25" customHeight="1">
      <c r="B57" s="15"/>
      <c r="H57" s="2"/>
      <c r="N57" s="65"/>
      <c r="O57" s="124"/>
      <c r="P57" s="124"/>
      <c r="Q57" s="124"/>
      <c r="R57" s="124"/>
    </row>
    <row r="58" spans="2:18" ht="12" customHeight="1" thickBot="1">
      <c r="B58" s="60"/>
      <c r="O58" s="125"/>
      <c r="P58" s="125"/>
      <c r="Q58" s="125"/>
      <c r="R58" s="125"/>
    </row>
    <row r="59" spans="2:18">
      <c r="O59" s="16"/>
      <c r="P59" s="50"/>
      <c r="Q59" s="55"/>
      <c r="R59" s="50"/>
    </row>
    <row r="60" spans="2:18" ht="12.75" customHeight="1">
      <c r="B60" s="8"/>
    </row>
    <row r="61" spans="2:18">
      <c r="B61" s="8" t="s">
        <v>150</v>
      </c>
      <c r="H61" s="1" t="s">
        <v>61</v>
      </c>
      <c r="O61" s="110"/>
      <c r="P61" s="110"/>
    </row>
  </sheetData>
  <sortState xmlns:xlrd2="http://schemas.microsoft.com/office/spreadsheetml/2017/richdata2" ref="H31:I47">
    <sortCondition ref="H30"/>
  </sortState>
  <mergeCells count="32">
    <mergeCell ref="H54:H55"/>
    <mergeCell ref="B3:F4"/>
    <mergeCell ref="I8:L8"/>
    <mergeCell ref="B5:F5"/>
    <mergeCell ref="B6:F6"/>
    <mergeCell ref="B7:F7"/>
    <mergeCell ref="B8:F8"/>
    <mergeCell ref="I3:L3"/>
    <mergeCell ref="I5:L5"/>
    <mergeCell ref="I7:L7"/>
    <mergeCell ref="N48:R48"/>
    <mergeCell ref="O3:R3"/>
    <mergeCell ref="I4:L4"/>
    <mergeCell ref="O4:R4"/>
    <mergeCell ref="O5:R5"/>
    <mergeCell ref="O6:R6"/>
    <mergeCell ref="N49:R49"/>
    <mergeCell ref="O7:R7"/>
    <mergeCell ref="O61:P61"/>
    <mergeCell ref="I6:L6"/>
    <mergeCell ref="B50:M50"/>
    <mergeCell ref="N50:R50"/>
    <mergeCell ref="O51:R52"/>
    <mergeCell ref="O55:R56"/>
    <mergeCell ref="O53:R54"/>
    <mergeCell ref="N51:N52"/>
    <mergeCell ref="N53:N54"/>
    <mergeCell ref="N55:N56"/>
    <mergeCell ref="O57:R58"/>
    <mergeCell ref="O8:R8"/>
    <mergeCell ref="L53:L54"/>
    <mergeCell ref="N37:R40"/>
  </mergeCells>
  <hyperlinks>
    <hyperlink ref="B6" r:id="rId1" xr:uid="{00000000-0004-0000-0000-000000000000}"/>
    <hyperlink ref="B8" r:id="rId2" xr:uid="{00000000-0004-0000-0000-000001000000}"/>
  </hyperlinks>
  <pageMargins left="0.18" right="0.13" top="0.28999999999999998" bottom="0.31" header="0.3" footer="0.3"/>
  <pageSetup scale="85" orientation="portrait" r:id="rId3"/>
  <drawing r:id="rId4"/>
  <legacyDrawing r:id="rId5"/>
  <controls>
    <mc:AlternateContent xmlns:mc="http://schemas.openxmlformats.org/markup-compatibility/2006">
      <mc:Choice Requires="x14">
        <control shapeId="1027" r:id="rId6" name="CheckBox1">
          <controlPr defaultSize="0" autoLine="0" r:id="rId7">
            <anchor moveWithCells="1">
              <from>
                <xdr:col>13</xdr:col>
                <xdr:colOff>38100</xdr:colOff>
                <xdr:row>8</xdr:row>
                <xdr:rowOff>38100</xdr:rowOff>
              </from>
              <to>
                <xdr:col>13</xdr:col>
                <xdr:colOff>171450</xdr:colOff>
                <xdr:row>8</xdr:row>
                <xdr:rowOff>180975</xdr:rowOff>
              </to>
            </anchor>
          </controlPr>
        </control>
      </mc:Choice>
      <mc:Fallback>
        <control shapeId="1027" r:id="rId6" name="CheckBox1"/>
      </mc:Fallback>
    </mc:AlternateContent>
    <mc:AlternateContent xmlns:mc="http://schemas.openxmlformats.org/markup-compatibility/2006">
      <mc:Choice Requires="x14">
        <control shapeId="1026" r:id="rId8" name="CheckBox2">
          <controlPr defaultSize="0" autoLine="0" r:id="rId9">
            <anchor moveWithCells="1">
              <from>
                <xdr:col>7</xdr:col>
                <xdr:colOff>38100</xdr:colOff>
                <xdr:row>8</xdr:row>
                <xdr:rowOff>47625</xdr:rowOff>
              </from>
              <to>
                <xdr:col>7</xdr:col>
                <xdr:colOff>180975</xdr:colOff>
                <xdr:row>8</xdr:row>
                <xdr:rowOff>180975</xdr:rowOff>
              </to>
            </anchor>
          </controlPr>
        </control>
      </mc:Choice>
      <mc:Fallback>
        <control shapeId="1026" r:id="rId8" name="CheckBox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R58"/>
  <sheetViews>
    <sheetView topLeftCell="A31" zoomScale="115" zoomScaleNormal="115" workbookViewId="0">
      <selection activeCell="L48" sqref="L48"/>
    </sheetView>
  </sheetViews>
  <sheetFormatPr defaultRowHeight="15"/>
  <cols>
    <col min="1" max="1" width="2.28515625" style="1" customWidth="1"/>
    <col min="2" max="2" width="29.7109375" style="2" customWidth="1"/>
    <col min="3" max="3" width="8.28515625" style="10" customWidth="1"/>
    <col min="4" max="4" width="4.7109375" style="43" customWidth="1"/>
    <col min="5" max="5" width="4.7109375" style="36" hidden="1" customWidth="1"/>
    <col min="6" max="6" width="4.7109375" style="43" customWidth="1"/>
    <col min="7" max="7" width="0.85546875" style="1" customWidth="1"/>
    <col min="8" max="8" width="29.7109375" style="1" customWidth="1"/>
    <col min="9" max="9" width="8.28515625" style="11" customWidth="1"/>
    <col min="10" max="10" width="4.7109375" style="43" customWidth="1"/>
    <col min="11" max="11" width="4.7109375" style="36" hidden="1" customWidth="1"/>
    <col min="12" max="12" width="4.7109375" style="43" customWidth="1"/>
    <col min="13" max="13" width="0.85546875" style="1" customWidth="1"/>
    <col min="14" max="14" width="29.7109375" style="1" customWidth="1"/>
    <col min="15" max="15" width="8.28515625" style="11" customWidth="1"/>
    <col min="16" max="16" width="4.7109375" style="43" customWidth="1"/>
    <col min="17" max="17" width="4.7109375" style="35" hidden="1" customWidth="1"/>
    <col min="18" max="18" width="4.7109375" style="43" customWidth="1"/>
    <col min="19" max="16384" width="9.140625" style="1"/>
  </cols>
  <sheetData>
    <row r="1" spans="2:18" ht="12.75" customHeight="1">
      <c r="B1" s="144" t="s">
        <v>80</v>
      </c>
      <c r="C1" s="145"/>
      <c r="D1" s="145"/>
      <c r="E1" s="145"/>
      <c r="F1" s="146"/>
      <c r="H1" s="17" t="s">
        <v>9</v>
      </c>
      <c r="I1" s="108"/>
      <c r="J1" s="108"/>
      <c r="K1" s="108"/>
      <c r="L1" s="109"/>
      <c r="N1" s="17" t="s">
        <v>2</v>
      </c>
      <c r="O1" s="108"/>
      <c r="P1" s="108"/>
      <c r="Q1" s="108"/>
      <c r="R1" s="109"/>
    </row>
    <row r="2" spans="2:18" ht="7.5" customHeight="1">
      <c r="B2" s="147"/>
      <c r="C2" s="148"/>
      <c r="D2" s="148"/>
      <c r="E2" s="148"/>
      <c r="F2" s="149"/>
      <c r="H2" s="6"/>
      <c r="I2" s="111"/>
      <c r="J2" s="111"/>
      <c r="K2" s="111"/>
      <c r="L2" s="112"/>
      <c r="N2" s="6"/>
      <c r="O2" s="111"/>
      <c r="P2" s="111"/>
      <c r="Q2" s="111"/>
      <c r="R2" s="112"/>
    </row>
    <row r="3" spans="2:18" ht="12.75" customHeight="1">
      <c r="B3" s="150" t="s">
        <v>81</v>
      </c>
      <c r="C3" s="151"/>
      <c r="D3" s="151"/>
      <c r="E3" s="151"/>
      <c r="F3" s="152"/>
      <c r="H3" s="17" t="s">
        <v>0</v>
      </c>
      <c r="I3" s="108"/>
      <c r="J3" s="108"/>
      <c r="K3" s="108"/>
      <c r="L3" s="109"/>
      <c r="N3" s="17" t="s">
        <v>3</v>
      </c>
      <c r="O3" s="108"/>
      <c r="P3" s="108"/>
      <c r="Q3" s="108"/>
      <c r="R3" s="109"/>
    </row>
    <row r="4" spans="2:18" ht="10.5" customHeight="1">
      <c r="B4" s="162" t="s">
        <v>82</v>
      </c>
      <c r="C4" s="154"/>
      <c r="D4" s="154"/>
      <c r="E4" s="154"/>
      <c r="F4" s="155"/>
      <c r="H4" s="6"/>
      <c r="I4" s="111"/>
      <c r="J4" s="111"/>
      <c r="K4" s="111"/>
      <c r="L4" s="112"/>
      <c r="N4" s="6"/>
      <c r="O4" s="111"/>
      <c r="P4" s="111"/>
      <c r="Q4" s="111"/>
      <c r="R4" s="112"/>
    </row>
    <row r="5" spans="2:18" ht="13.5" customHeight="1">
      <c r="B5" s="153" t="s">
        <v>83</v>
      </c>
      <c r="C5" s="163"/>
      <c r="D5" s="163"/>
      <c r="E5" s="163"/>
      <c r="F5" s="164"/>
      <c r="H5" s="17" t="s">
        <v>1</v>
      </c>
      <c r="I5" s="108"/>
      <c r="J5" s="108"/>
      <c r="K5" s="108"/>
      <c r="L5" s="109"/>
      <c r="N5" s="17" t="s">
        <v>4</v>
      </c>
      <c r="O5" s="108"/>
      <c r="P5" s="108"/>
      <c r="Q5" s="108"/>
      <c r="R5" s="109"/>
    </row>
    <row r="6" spans="2:18" ht="11.25" customHeight="1">
      <c r="B6" s="159" t="s">
        <v>84</v>
      </c>
      <c r="C6" s="165"/>
      <c r="D6" s="165"/>
      <c r="E6" s="165"/>
      <c r="F6" s="166"/>
      <c r="H6" s="6"/>
      <c r="I6" s="111"/>
      <c r="J6" s="111"/>
      <c r="K6" s="111"/>
      <c r="L6" s="112"/>
      <c r="N6" s="6"/>
      <c r="O6" s="111"/>
      <c r="P6" s="111"/>
      <c r="Q6" s="111"/>
      <c r="R6" s="112"/>
    </row>
    <row r="7" spans="2:18" ht="15.75" customHeight="1" thickBot="1">
      <c r="H7" s="1" t="s">
        <v>63</v>
      </c>
      <c r="N7" s="1" t="s">
        <v>64</v>
      </c>
    </row>
    <row r="8" spans="2:18" s="3" customFormat="1" ht="20.100000000000001" customHeight="1" thickBot="1">
      <c r="B8" s="20" t="s">
        <v>10</v>
      </c>
      <c r="C8" s="22"/>
      <c r="D8" s="40" t="s">
        <v>11</v>
      </c>
      <c r="E8" s="64" t="s">
        <v>65</v>
      </c>
      <c r="F8" s="51" t="s">
        <v>12</v>
      </c>
      <c r="H8" s="20" t="s">
        <v>13</v>
      </c>
      <c r="I8" s="23"/>
      <c r="J8" s="40" t="s">
        <v>46</v>
      </c>
      <c r="K8" s="64" t="s">
        <v>65</v>
      </c>
      <c r="L8" s="51" t="s">
        <v>12</v>
      </c>
      <c r="M8" s="19"/>
      <c r="N8" s="20" t="s">
        <v>14</v>
      </c>
      <c r="O8" s="24"/>
      <c r="P8" s="40" t="s">
        <v>46</v>
      </c>
      <c r="Q8" s="64" t="s">
        <v>65</v>
      </c>
      <c r="R8" s="51" t="s">
        <v>12</v>
      </c>
    </row>
    <row r="9" spans="2:18" s="3" customFormat="1" ht="12" customHeight="1" thickBot="1">
      <c r="B9" s="103" t="s">
        <v>108</v>
      </c>
      <c r="C9" s="33">
        <v>16.989999999999998</v>
      </c>
      <c r="D9" s="69"/>
      <c r="E9" s="70">
        <f t="shared" ref="E9:E48" si="0">+C9*D9</f>
        <v>0</v>
      </c>
      <c r="F9" s="69"/>
      <c r="H9" s="67" t="s">
        <v>15</v>
      </c>
      <c r="I9" s="68">
        <v>16.5</v>
      </c>
      <c r="J9" s="71"/>
      <c r="K9" s="72">
        <f>+I9*J9</f>
        <v>0</v>
      </c>
      <c r="L9" s="71"/>
      <c r="M9" s="73"/>
      <c r="N9" s="74" t="s">
        <v>73</v>
      </c>
      <c r="O9" s="75">
        <v>42.99</v>
      </c>
      <c r="P9" s="76"/>
      <c r="Q9" s="77">
        <f>+O9*P9</f>
        <v>0</v>
      </c>
      <c r="R9" s="76"/>
    </row>
    <row r="10" spans="2:18" s="3" customFormat="1" ht="12" customHeight="1" thickBot="1">
      <c r="B10" s="103" t="s">
        <v>104</v>
      </c>
      <c r="C10" s="33">
        <v>9.5</v>
      </c>
      <c r="D10" s="78"/>
      <c r="E10" s="79">
        <f>+C10*D10</f>
        <v>0</v>
      </c>
      <c r="F10" s="78"/>
      <c r="H10" s="29" t="s">
        <v>16</v>
      </c>
      <c r="I10" s="33">
        <v>34.99</v>
      </c>
      <c r="J10" s="80"/>
      <c r="K10" s="81">
        <f>+I10*J10</f>
        <v>0</v>
      </c>
      <c r="L10" s="80"/>
      <c r="M10" s="73"/>
      <c r="N10" s="29" t="s">
        <v>49</v>
      </c>
      <c r="O10" s="33">
        <v>68.5</v>
      </c>
      <c r="P10" s="82"/>
      <c r="Q10" s="81">
        <f>+O10*P10</f>
        <v>0</v>
      </c>
      <c r="R10" s="82"/>
    </row>
    <row r="11" spans="2:18" s="3" customFormat="1" ht="12" customHeight="1" thickBot="1">
      <c r="B11" s="103" t="s">
        <v>109</v>
      </c>
      <c r="C11" s="33">
        <v>11.99</v>
      </c>
      <c r="D11" s="78"/>
      <c r="E11" s="79">
        <f t="shared" si="0"/>
        <v>0</v>
      </c>
      <c r="F11" s="78"/>
      <c r="H11" s="29" t="s">
        <v>17</v>
      </c>
      <c r="I11" s="33">
        <v>28</v>
      </c>
      <c r="J11" s="80"/>
      <c r="K11" s="81">
        <f t="shared" ref="K11:K27" si="1">+I11*J11</f>
        <v>0</v>
      </c>
      <c r="L11" s="80"/>
      <c r="M11" s="73"/>
      <c r="N11" s="29" t="s">
        <v>71</v>
      </c>
      <c r="O11" s="33">
        <v>10</v>
      </c>
      <c r="P11" s="82"/>
      <c r="Q11" s="81">
        <f t="shared" ref="Q11:Q35" si="2">+O11*P11</f>
        <v>0</v>
      </c>
      <c r="R11" s="82"/>
    </row>
    <row r="12" spans="2:18" s="3" customFormat="1" ht="12" customHeight="1" thickBot="1">
      <c r="B12" s="103" t="s">
        <v>105</v>
      </c>
      <c r="C12" s="33">
        <v>15.5</v>
      </c>
      <c r="D12" s="78"/>
      <c r="E12" s="79">
        <f t="shared" si="0"/>
        <v>0</v>
      </c>
      <c r="F12" s="78"/>
      <c r="H12" s="29" t="s">
        <v>18</v>
      </c>
      <c r="I12" s="33">
        <v>22.99</v>
      </c>
      <c r="J12" s="80"/>
      <c r="K12" s="81">
        <f t="shared" si="1"/>
        <v>0</v>
      </c>
      <c r="L12" s="80"/>
      <c r="M12" s="73"/>
      <c r="N12" s="29" t="s">
        <v>50</v>
      </c>
      <c r="O12" s="33">
        <v>27</v>
      </c>
      <c r="P12" s="82"/>
      <c r="Q12" s="81">
        <f t="shared" si="2"/>
        <v>0</v>
      </c>
      <c r="R12" s="82"/>
    </row>
    <row r="13" spans="2:18" s="3" customFormat="1" ht="12" customHeight="1" thickBot="1">
      <c r="B13" s="103" t="s">
        <v>106</v>
      </c>
      <c r="C13" s="33">
        <v>12.99</v>
      </c>
      <c r="D13" s="78"/>
      <c r="E13" s="79">
        <f t="shared" si="0"/>
        <v>0</v>
      </c>
      <c r="F13" s="78"/>
      <c r="H13" s="29" t="s">
        <v>19</v>
      </c>
      <c r="I13" s="33">
        <v>24.99</v>
      </c>
      <c r="J13" s="80"/>
      <c r="K13" s="81">
        <f t="shared" si="1"/>
        <v>0</v>
      </c>
      <c r="L13" s="80"/>
      <c r="M13" s="73"/>
      <c r="N13" s="29" t="s">
        <v>51</v>
      </c>
      <c r="O13" s="33">
        <v>9.99</v>
      </c>
      <c r="P13" s="82"/>
      <c r="Q13" s="81">
        <f t="shared" si="2"/>
        <v>0</v>
      </c>
      <c r="R13" s="82"/>
    </row>
    <row r="14" spans="2:18" s="3" customFormat="1" ht="12" customHeight="1" thickBot="1">
      <c r="B14" s="103" t="s">
        <v>107</v>
      </c>
      <c r="C14" s="33">
        <v>14.99</v>
      </c>
      <c r="D14" s="78"/>
      <c r="E14" s="79">
        <f t="shared" si="0"/>
        <v>0</v>
      </c>
      <c r="F14" s="78"/>
      <c r="H14" s="29" t="s">
        <v>20</v>
      </c>
      <c r="I14" s="33">
        <v>16.989999999999998</v>
      </c>
      <c r="J14" s="80"/>
      <c r="K14" s="81">
        <f t="shared" si="1"/>
        <v>0</v>
      </c>
      <c r="L14" s="80"/>
      <c r="M14" s="73"/>
      <c r="N14" s="29" t="s">
        <v>52</v>
      </c>
      <c r="O14" s="33">
        <v>18.989999999999998</v>
      </c>
      <c r="P14" s="82"/>
      <c r="Q14" s="81">
        <f t="shared" si="2"/>
        <v>0</v>
      </c>
      <c r="R14" s="82"/>
    </row>
    <row r="15" spans="2:18" s="3" customFormat="1" ht="12" customHeight="1" thickBot="1">
      <c r="B15" s="103" t="s">
        <v>110</v>
      </c>
      <c r="C15" s="33">
        <v>14.99</v>
      </c>
      <c r="D15" s="78"/>
      <c r="E15" s="79">
        <f t="shared" si="0"/>
        <v>0</v>
      </c>
      <c r="F15" s="78"/>
      <c r="H15" s="29" t="s">
        <v>21</v>
      </c>
      <c r="I15" s="33">
        <v>19.989999999999998</v>
      </c>
      <c r="J15" s="80"/>
      <c r="K15" s="81">
        <f t="shared" si="1"/>
        <v>0</v>
      </c>
      <c r="L15" s="80"/>
      <c r="M15" s="73"/>
      <c r="N15" s="29" t="s">
        <v>53</v>
      </c>
      <c r="O15" s="33">
        <v>24.75</v>
      </c>
      <c r="P15" s="82"/>
      <c r="Q15" s="81">
        <f t="shared" si="2"/>
        <v>0</v>
      </c>
      <c r="R15" s="82"/>
    </row>
    <row r="16" spans="2:18" s="3" customFormat="1" ht="12" customHeight="1" thickBot="1">
      <c r="B16" s="103" t="s">
        <v>111</v>
      </c>
      <c r="C16" s="85">
        <v>14</v>
      </c>
      <c r="D16" s="78"/>
      <c r="E16" s="79">
        <f t="shared" si="0"/>
        <v>0</v>
      </c>
      <c r="F16" s="78"/>
      <c r="H16" s="29" t="s">
        <v>22</v>
      </c>
      <c r="I16" s="33">
        <v>19.989999999999998</v>
      </c>
      <c r="J16" s="80"/>
      <c r="K16" s="81">
        <f t="shared" si="1"/>
        <v>0</v>
      </c>
      <c r="L16" s="80"/>
      <c r="M16" s="73"/>
      <c r="N16" s="29" t="s">
        <v>72</v>
      </c>
      <c r="O16" s="33">
        <v>179</v>
      </c>
      <c r="P16" s="82"/>
      <c r="Q16" s="81">
        <f t="shared" si="2"/>
        <v>0</v>
      </c>
      <c r="R16" s="82"/>
    </row>
    <row r="17" spans="2:18" s="3" customFormat="1" ht="12" customHeight="1" thickBot="1">
      <c r="B17" s="103" t="s">
        <v>112</v>
      </c>
      <c r="C17" s="33">
        <v>16.989999999999998</v>
      </c>
      <c r="D17" s="78"/>
      <c r="E17" s="79">
        <f t="shared" si="0"/>
        <v>0</v>
      </c>
      <c r="F17" s="78"/>
      <c r="H17" s="29" t="s">
        <v>23</v>
      </c>
      <c r="I17" s="33">
        <v>19.989999999999998</v>
      </c>
      <c r="J17" s="80"/>
      <c r="K17" s="81">
        <f t="shared" si="1"/>
        <v>0</v>
      </c>
      <c r="L17" s="80"/>
      <c r="M17" s="73"/>
      <c r="N17" s="29" t="s">
        <v>54</v>
      </c>
      <c r="O17" s="33">
        <v>43</v>
      </c>
      <c r="P17" s="82"/>
      <c r="Q17" s="81">
        <f t="shared" si="2"/>
        <v>0</v>
      </c>
      <c r="R17" s="82"/>
    </row>
    <row r="18" spans="2:18" s="3" customFormat="1" ht="12" customHeight="1" thickBot="1">
      <c r="B18" s="103" t="s">
        <v>113</v>
      </c>
      <c r="C18" s="33">
        <v>18.989999999999998</v>
      </c>
      <c r="D18" s="78"/>
      <c r="E18" s="79">
        <f t="shared" si="0"/>
        <v>0</v>
      </c>
      <c r="F18" s="78"/>
      <c r="H18" s="29" t="s">
        <v>24</v>
      </c>
      <c r="I18" s="33">
        <v>69.989999999999995</v>
      </c>
      <c r="J18" s="80"/>
      <c r="K18" s="81">
        <f t="shared" si="1"/>
        <v>0</v>
      </c>
      <c r="L18" s="80"/>
      <c r="M18" s="73"/>
      <c r="N18" s="29" t="s">
        <v>55</v>
      </c>
      <c r="O18" s="33">
        <v>49.99</v>
      </c>
      <c r="P18" s="82"/>
      <c r="Q18" s="81">
        <f t="shared" si="2"/>
        <v>0</v>
      </c>
      <c r="R18" s="82"/>
    </row>
    <row r="19" spans="2:18" s="3" customFormat="1" ht="12" customHeight="1" thickBot="1">
      <c r="B19" s="103" t="s">
        <v>114</v>
      </c>
      <c r="C19" s="33">
        <v>18.989999999999998</v>
      </c>
      <c r="D19" s="78"/>
      <c r="E19" s="79">
        <f t="shared" si="0"/>
        <v>0</v>
      </c>
      <c r="F19" s="78"/>
      <c r="H19" s="29" t="s">
        <v>25</v>
      </c>
      <c r="I19" s="33">
        <v>129</v>
      </c>
      <c r="J19" s="80"/>
      <c r="K19" s="81">
        <f t="shared" si="1"/>
        <v>0</v>
      </c>
      <c r="L19" s="80"/>
      <c r="M19" s="73"/>
      <c r="N19" s="29" t="s">
        <v>56</v>
      </c>
      <c r="O19" s="33">
        <v>109.25</v>
      </c>
      <c r="P19" s="82"/>
      <c r="Q19" s="81">
        <f t="shared" si="2"/>
        <v>0</v>
      </c>
      <c r="R19" s="82"/>
    </row>
    <row r="20" spans="2:18" s="3" customFormat="1" ht="12" customHeight="1" thickBot="1">
      <c r="B20" s="103" t="s">
        <v>115</v>
      </c>
      <c r="C20" s="33">
        <v>12.5</v>
      </c>
      <c r="D20" s="78"/>
      <c r="E20" s="79">
        <f t="shared" si="0"/>
        <v>0</v>
      </c>
      <c r="F20" s="78"/>
      <c r="H20" s="29" t="s">
        <v>26</v>
      </c>
      <c r="I20" s="33">
        <v>19.75</v>
      </c>
      <c r="J20" s="80"/>
      <c r="K20" s="81">
        <f t="shared" si="1"/>
        <v>0</v>
      </c>
      <c r="L20" s="80"/>
      <c r="M20" s="73"/>
      <c r="N20" s="29" t="s">
        <v>57</v>
      </c>
      <c r="O20" s="33">
        <v>89</v>
      </c>
      <c r="P20" s="82"/>
      <c r="Q20" s="81">
        <f t="shared" si="2"/>
        <v>0</v>
      </c>
      <c r="R20" s="82"/>
    </row>
    <row r="21" spans="2:18" s="3" customFormat="1" ht="12" customHeight="1" thickBot="1">
      <c r="B21" s="103" t="s">
        <v>116</v>
      </c>
      <c r="C21" s="33">
        <v>14.99</v>
      </c>
      <c r="D21" s="78"/>
      <c r="E21" s="79">
        <f t="shared" si="0"/>
        <v>0</v>
      </c>
      <c r="F21" s="78"/>
      <c r="H21" s="29" t="s">
        <v>27</v>
      </c>
      <c r="I21" s="33">
        <v>24.15</v>
      </c>
      <c r="J21" s="80"/>
      <c r="K21" s="81">
        <f t="shared" si="1"/>
        <v>0</v>
      </c>
      <c r="L21" s="80"/>
      <c r="M21" s="73"/>
      <c r="N21" s="29" t="s">
        <v>58</v>
      </c>
      <c r="O21" s="33">
        <v>89.99</v>
      </c>
      <c r="P21" s="82"/>
      <c r="Q21" s="81">
        <f t="shared" si="2"/>
        <v>0</v>
      </c>
      <c r="R21" s="82"/>
    </row>
    <row r="22" spans="2:18" s="3" customFormat="1" ht="12" customHeight="1" thickBot="1">
      <c r="B22" s="103" t="s">
        <v>117</v>
      </c>
      <c r="C22" s="33">
        <v>18.989999999999998</v>
      </c>
      <c r="D22" s="78"/>
      <c r="E22" s="79">
        <f t="shared" si="0"/>
        <v>0</v>
      </c>
      <c r="F22" s="78"/>
      <c r="H22" s="29" t="s">
        <v>28</v>
      </c>
      <c r="I22" s="33">
        <v>19.75</v>
      </c>
      <c r="J22" s="80"/>
      <c r="K22" s="81">
        <f t="shared" si="1"/>
        <v>0</v>
      </c>
      <c r="L22" s="80"/>
      <c r="M22" s="73"/>
      <c r="N22" s="29" t="s">
        <v>59</v>
      </c>
      <c r="O22" s="33">
        <v>139.99</v>
      </c>
      <c r="P22" s="82"/>
      <c r="Q22" s="81">
        <f t="shared" si="2"/>
        <v>0</v>
      </c>
      <c r="R22" s="82"/>
    </row>
    <row r="23" spans="2:18" s="3" customFormat="1" ht="12" customHeight="1" thickBot="1">
      <c r="B23" s="103" t="s">
        <v>118</v>
      </c>
      <c r="C23" s="83">
        <v>18.989999999999998</v>
      </c>
      <c r="D23" s="78"/>
      <c r="E23" s="79">
        <f t="shared" si="0"/>
        <v>0</v>
      </c>
      <c r="F23" s="78"/>
      <c r="H23" s="29" t="s">
        <v>29</v>
      </c>
      <c r="I23" s="33">
        <v>22.99</v>
      </c>
      <c r="J23" s="80"/>
      <c r="K23" s="81">
        <f t="shared" si="1"/>
        <v>0</v>
      </c>
      <c r="L23" s="80"/>
      <c r="M23" s="73"/>
      <c r="N23" s="29" t="s">
        <v>74</v>
      </c>
      <c r="O23" s="83">
        <v>119</v>
      </c>
      <c r="P23" s="82"/>
      <c r="Q23" s="81">
        <f t="shared" si="2"/>
        <v>0</v>
      </c>
      <c r="R23" s="82"/>
    </row>
    <row r="24" spans="2:18" s="3" customFormat="1" ht="12" customHeight="1" thickBot="1">
      <c r="B24" s="103" t="s">
        <v>119</v>
      </c>
      <c r="C24" s="33">
        <v>12.99</v>
      </c>
      <c r="D24" s="78"/>
      <c r="E24" s="79">
        <f t="shared" si="0"/>
        <v>0</v>
      </c>
      <c r="F24" s="78"/>
      <c r="H24" s="84" t="s">
        <v>67</v>
      </c>
      <c r="I24" s="85">
        <v>12.99</v>
      </c>
      <c r="J24" s="80"/>
      <c r="K24" s="81">
        <f t="shared" si="1"/>
        <v>0</v>
      </c>
      <c r="L24" s="80"/>
      <c r="M24" s="73"/>
      <c r="N24" s="29" t="s">
        <v>75</v>
      </c>
      <c r="O24" s="33">
        <v>29.99</v>
      </c>
      <c r="P24" s="82"/>
      <c r="Q24" s="81">
        <f t="shared" si="2"/>
        <v>0</v>
      </c>
      <c r="R24" s="82"/>
    </row>
    <row r="25" spans="2:18" s="3" customFormat="1" ht="12" customHeight="1" thickBot="1">
      <c r="B25" s="103" t="s">
        <v>120</v>
      </c>
      <c r="C25" s="33">
        <v>15.5</v>
      </c>
      <c r="D25" s="78"/>
      <c r="E25" s="79">
        <f t="shared" si="0"/>
        <v>0</v>
      </c>
      <c r="F25" s="78"/>
      <c r="H25" s="29" t="s">
        <v>68</v>
      </c>
      <c r="I25" s="33">
        <v>49.99</v>
      </c>
      <c r="J25" s="80"/>
      <c r="K25" s="81">
        <f t="shared" si="1"/>
        <v>0</v>
      </c>
      <c r="L25" s="80"/>
      <c r="M25" s="73"/>
      <c r="N25" s="29" t="s">
        <v>77</v>
      </c>
      <c r="O25" s="83">
        <v>34.99</v>
      </c>
      <c r="P25" s="82"/>
      <c r="Q25" s="81">
        <f t="shared" si="2"/>
        <v>0</v>
      </c>
      <c r="R25" s="82"/>
    </row>
    <row r="26" spans="2:18" s="3" customFormat="1" ht="12" customHeight="1" thickBot="1">
      <c r="B26" s="103" t="s">
        <v>121</v>
      </c>
      <c r="C26" s="33">
        <v>18.989999999999998</v>
      </c>
      <c r="D26" s="78"/>
      <c r="E26" s="79">
        <f t="shared" si="0"/>
        <v>0</v>
      </c>
      <c r="F26" s="78"/>
      <c r="H26" s="29" t="s">
        <v>69</v>
      </c>
      <c r="I26" s="33">
        <v>32.99</v>
      </c>
      <c r="J26" s="80"/>
      <c r="K26" s="81">
        <f t="shared" si="1"/>
        <v>0</v>
      </c>
      <c r="L26" s="80"/>
      <c r="M26" s="73"/>
      <c r="N26" s="29" t="s">
        <v>76</v>
      </c>
      <c r="O26" s="33"/>
      <c r="P26" s="82"/>
      <c r="Q26" s="81">
        <f t="shared" si="2"/>
        <v>0</v>
      </c>
      <c r="R26" s="82"/>
    </row>
    <row r="27" spans="2:18" s="3" customFormat="1" ht="12" customHeight="1" thickBot="1">
      <c r="B27" s="103" t="s">
        <v>122</v>
      </c>
      <c r="C27" s="85">
        <v>8.99</v>
      </c>
      <c r="D27" s="78"/>
      <c r="E27" s="79">
        <f t="shared" si="0"/>
        <v>0</v>
      </c>
      <c r="F27" s="78"/>
      <c r="H27" s="86"/>
      <c r="I27" s="87"/>
      <c r="J27" s="88"/>
      <c r="K27" s="89">
        <f t="shared" si="1"/>
        <v>0</v>
      </c>
      <c r="L27" s="88"/>
      <c r="M27" s="73"/>
      <c r="N27" s="29" t="s">
        <v>78</v>
      </c>
      <c r="O27" s="83">
        <v>36.99</v>
      </c>
      <c r="P27" s="82"/>
      <c r="Q27" s="81">
        <f t="shared" si="2"/>
        <v>0</v>
      </c>
      <c r="R27" s="82"/>
    </row>
    <row r="28" spans="2:18" s="3" customFormat="1" ht="12" customHeight="1" thickBot="1">
      <c r="B28" s="103" t="s">
        <v>123</v>
      </c>
      <c r="C28" s="33">
        <v>27.99</v>
      </c>
      <c r="D28" s="78"/>
      <c r="E28" s="79">
        <f t="shared" ref="E28:E38" si="3">+C28*D28</f>
        <v>0</v>
      </c>
      <c r="F28" s="78"/>
      <c r="H28" s="167" t="s">
        <v>14</v>
      </c>
      <c r="I28" s="168"/>
      <c r="J28" s="171" t="s">
        <v>46</v>
      </c>
      <c r="K28" s="64" t="s">
        <v>65</v>
      </c>
      <c r="L28" s="173" t="s">
        <v>12</v>
      </c>
      <c r="M28" s="73"/>
      <c r="N28" s="29" t="s">
        <v>79</v>
      </c>
      <c r="O28" s="83">
        <v>42.99</v>
      </c>
      <c r="P28" s="82"/>
      <c r="Q28" s="81"/>
      <c r="R28" s="82"/>
    </row>
    <row r="29" spans="2:18" s="3" customFormat="1" ht="13.5" customHeight="1" thickBot="1">
      <c r="B29" s="103" t="s">
        <v>124</v>
      </c>
      <c r="C29" s="33">
        <v>24.99</v>
      </c>
      <c r="D29" s="78"/>
      <c r="E29" s="79">
        <f t="shared" si="3"/>
        <v>0</v>
      </c>
      <c r="F29" s="78"/>
      <c r="H29" s="169"/>
      <c r="I29" s="170"/>
      <c r="J29" s="172"/>
      <c r="K29" s="64" t="s">
        <v>65</v>
      </c>
      <c r="L29" s="174"/>
      <c r="M29" s="73"/>
      <c r="N29" s="29"/>
      <c r="O29" s="83"/>
      <c r="P29" s="82"/>
      <c r="Q29" s="81">
        <f t="shared" si="2"/>
        <v>0</v>
      </c>
      <c r="R29" s="82"/>
    </row>
    <row r="30" spans="2:18" s="3" customFormat="1" ht="12" customHeight="1" thickBot="1">
      <c r="B30" s="103" t="s">
        <v>125</v>
      </c>
      <c r="C30" s="33">
        <v>9.5</v>
      </c>
      <c r="D30" s="78"/>
      <c r="E30" s="79">
        <f t="shared" si="3"/>
        <v>0</v>
      </c>
      <c r="F30" s="78"/>
      <c r="H30" s="90" t="s">
        <v>30</v>
      </c>
      <c r="I30" s="75">
        <v>6.9</v>
      </c>
      <c r="J30" s="91"/>
      <c r="K30" s="92">
        <f t="shared" ref="K30:K48" si="4">+I30*J30</f>
        <v>0</v>
      </c>
      <c r="L30" s="91"/>
      <c r="M30" s="73"/>
      <c r="N30" s="29"/>
      <c r="O30" s="83"/>
      <c r="P30" s="82"/>
      <c r="Q30" s="81">
        <f t="shared" si="2"/>
        <v>0</v>
      </c>
      <c r="R30" s="82"/>
    </row>
    <row r="31" spans="2:18" s="3" customFormat="1" ht="12" customHeight="1" thickBot="1">
      <c r="B31" s="103" t="s">
        <v>126</v>
      </c>
      <c r="C31" s="33">
        <v>16.989999999999998</v>
      </c>
      <c r="D31" s="78"/>
      <c r="E31" s="79">
        <f t="shared" si="3"/>
        <v>0</v>
      </c>
      <c r="F31" s="78"/>
      <c r="H31" s="29" t="s">
        <v>31</v>
      </c>
      <c r="I31" s="33">
        <v>1.5</v>
      </c>
      <c r="J31" s="80"/>
      <c r="K31" s="92">
        <f t="shared" si="4"/>
        <v>0</v>
      </c>
      <c r="L31" s="80"/>
      <c r="M31" s="73"/>
      <c r="N31" s="29"/>
      <c r="O31" s="33"/>
      <c r="P31" s="82"/>
      <c r="Q31" s="81">
        <f t="shared" si="2"/>
        <v>0</v>
      </c>
      <c r="R31" s="82"/>
    </row>
    <row r="32" spans="2:18" s="3" customFormat="1" ht="12" customHeight="1" thickBot="1">
      <c r="B32" s="103" t="s">
        <v>127</v>
      </c>
      <c r="C32" s="33">
        <v>18.989999999999998</v>
      </c>
      <c r="D32" s="78"/>
      <c r="E32" s="79">
        <f t="shared" si="3"/>
        <v>0</v>
      </c>
      <c r="F32" s="78"/>
      <c r="H32" s="29" t="s">
        <v>32</v>
      </c>
      <c r="I32" s="33">
        <v>9.99</v>
      </c>
      <c r="J32" s="80"/>
      <c r="K32" s="92">
        <f t="shared" si="4"/>
        <v>0</v>
      </c>
      <c r="L32" s="80"/>
      <c r="M32" s="73"/>
      <c r="N32" s="29"/>
      <c r="O32" s="33"/>
      <c r="P32" s="82"/>
      <c r="Q32" s="81">
        <f t="shared" si="2"/>
        <v>0</v>
      </c>
      <c r="R32" s="82"/>
    </row>
    <row r="33" spans="2:18" s="3" customFormat="1" ht="12" customHeight="1" thickBot="1">
      <c r="B33" s="103" t="s">
        <v>128</v>
      </c>
      <c r="C33" s="33">
        <v>19.989999999999998</v>
      </c>
      <c r="D33" s="78"/>
      <c r="E33" s="79">
        <f t="shared" si="3"/>
        <v>0</v>
      </c>
      <c r="F33" s="78"/>
      <c r="H33" s="29" t="s">
        <v>33</v>
      </c>
      <c r="I33" s="33">
        <v>10.35</v>
      </c>
      <c r="J33" s="80"/>
      <c r="K33" s="92">
        <f t="shared" si="4"/>
        <v>0</v>
      </c>
      <c r="L33" s="80"/>
      <c r="M33" s="73"/>
      <c r="N33" s="29"/>
      <c r="O33" s="33"/>
      <c r="P33" s="82"/>
      <c r="Q33" s="81">
        <f t="shared" si="2"/>
        <v>0</v>
      </c>
      <c r="R33" s="82"/>
    </row>
    <row r="34" spans="2:18" s="3" customFormat="1" ht="12" customHeight="1" thickBot="1">
      <c r="B34" s="103" t="s">
        <v>129</v>
      </c>
      <c r="C34" s="83">
        <v>16.989999999999998</v>
      </c>
      <c r="D34" s="78"/>
      <c r="E34" s="79">
        <f t="shared" si="3"/>
        <v>0</v>
      </c>
      <c r="F34" s="78"/>
      <c r="H34" s="29" t="s">
        <v>34</v>
      </c>
      <c r="I34" s="33">
        <v>12.5</v>
      </c>
      <c r="J34" s="80"/>
      <c r="K34" s="92">
        <f t="shared" si="4"/>
        <v>0</v>
      </c>
      <c r="L34" s="80"/>
      <c r="M34" s="73"/>
      <c r="N34" s="29"/>
      <c r="O34" s="33"/>
      <c r="P34" s="82"/>
      <c r="Q34" s="81">
        <f t="shared" si="2"/>
        <v>0</v>
      </c>
      <c r="R34" s="82"/>
    </row>
    <row r="35" spans="2:18" s="3" customFormat="1" ht="12" customHeight="1" thickBot="1">
      <c r="B35" s="103" t="s">
        <v>66</v>
      </c>
      <c r="C35" s="33">
        <v>25.99</v>
      </c>
      <c r="D35" s="78"/>
      <c r="E35" s="79">
        <f t="shared" si="3"/>
        <v>0</v>
      </c>
      <c r="F35" s="78"/>
      <c r="H35" s="29" t="s">
        <v>35</v>
      </c>
      <c r="I35" s="33">
        <v>14.5</v>
      </c>
      <c r="J35" s="80"/>
      <c r="K35" s="92">
        <f t="shared" si="4"/>
        <v>0</v>
      </c>
      <c r="L35" s="80"/>
      <c r="M35" s="73"/>
      <c r="N35" s="86"/>
      <c r="O35" s="87"/>
      <c r="P35" s="93"/>
      <c r="Q35" s="89">
        <f t="shared" si="2"/>
        <v>0</v>
      </c>
      <c r="R35" s="93"/>
    </row>
    <row r="36" spans="2:18" s="3" customFormat="1" ht="12" customHeight="1" thickBot="1">
      <c r="B36" s="103" t="s">
        <v>130</v>
      </c>
      <c r="C36" s="33">
        <v>16.989999999999998</v>
      </c>
      <c r="D36" s="78"/>
      <c r="E36" s="79">
        <f t="shared" si="3"/>
        <v>0</v>
      </c>
      <c r="F36" s="78"/>
      <c r="H36" s="29" t="s">
        <v>70</v>
      </c>
      <c r="I36" s="33">
        <v>19.989999999999998</v>
      </c>
      <c r="J36" s="80"/>
      <c r="K36" s="92">
        <f t="shared" si="4"/>
        <v>0</v>
      </c>
      <c r="L36" s="80"/>
      <c r="M36" s="73"/>
      <c r="N36" s="127"/>
      <c r="O36" s="128"/>
      <c r="P36" s="129"/>
      <c r="Q36" s="130"/>
      <c r="R36" s="131"/>
    </row>
    <row r="37" spans="2:18" s="3" customFormat="1" ht="12" customHeight="1" thickBot="1">
      <c r="B37" s="103" t="s">
        <v>131</v>
      </c>
      <c r="C37" s="33">
        <v>10.5</v>
      </c>
      <c r="D37" s="78"/>
      <c r="E37" s="79">
        <f t="shared" si="3"/>
        <v>0</v>
      </c>
      <c r="F37" s="78"/>
      <c r="H37" s="29" t="s">
        <v>36</v>
      </c>
      <c r="I37" s="33">
        <v>26.99</v>
      </c>
      <c r="J37" s="80"/>
      <c r="K37" s="92">
        <f t="shared" si="4"/>
        <v>0</v>
      </c>
      <c r="L37" s="80"/>
      <c r="M37" s="73"/>
      <c r="N37" s="132"/>
      <c r="O37" s="133"/>
      <c r="P37" s="134"/>
      <c r="Q37" s="135"/>
      <c r="R37" s="136"/>
    </row>
    <row r="38" spans="2:18" s="3" customFormat="1" ht="12" customHeight="1" thickBot="1">
      <c r="B38" s="104" t="s">
        <v>132</v>
      </c>
      <c r="C38" s="33">
        <v>26.99</v>
      </c>
      <c r="D38" s="78"/>
      <c r="E38" s="79">
        <f t="shared" si="3"/>
        <v>0</v>
      </c>
      <c r="F38" s="78"/>
      <c r="H38" s="29" t="s">
        <v>37</v>
      </c>
      <c r="I38" s="33">
        <v>26.99</v>
      </c>
      <c r="J38" s="80"/>
      <c r="K38" s="92">
        <f t="shared" si="4"/>
        <v>0</v>
      </c>
      <c r="L38" s="80"/>
      <c r="M38" s="73"/>
      <c r="N38" s="132"/>
      <c r="O38" s="133"/>
      <c r="P38" s="134"/>
      <c r="Q38" s="135"/>
      <c r="R38" s="136"/>
    </row>
    <row r="39" spans="2:18" s="3" customFormat="1" ht="12" customHeight="1" thickBot="1">
      <c r="B39" s="104"/>
      <c r="C39" s="85"/>
      <c r="D39" s="78"/>
      <c r="E39" s="79">
        <f t="shared" si="0"/>
        <v>0</v>
      </c>
      <c r="F39" s="78"/>
      <c r="H39" s="29" t="s">
        <v>38</v>
      </c>
      <c r="I39" s="33">
        <v>26.99</v>
      </c>
      <c r="J39" s="80"/>
      <c r="K39" s="92">
        <f t="shared" si="4"/>
        <v>0</v>
      </c>
      <c r="L39" s="80"/>
      <c r="M39" s="73"/>
      <c r="N39" s="137"/>
      <c r="O39" s="138"/>
      <c r="P39" s="139"/>
      <c r="Q39" s="140"/>
      <c r="R39" s="141"/>
    </row>
    <row r="40" spans="2:18" s="3" customFormat="1" ht="12" customHeight="1" thickBot="1">
      <c r="B40" s="29"/>
      <c r="C40" s="33"/>
      <c r="D40" s="78"/>
      <c r="E40" s="79">
        <f t="shared" si="0"/>
        <v>0</v>
      </c>
      <c r="F40" s="78"/>
      <c r="H40" s="29" t="s">
        <v>39</v>
      </c>
      <c r="I40" s="33">
        <v>32.99</v>
      </c>
      <c r="J40" s="80"/>
      <c r="K40" s="92">
        <f t="shared" si="4"/>
        <v>0</v>
      </c>
      <c r="L40" s="80"/>
      <c r="M40" s="73"/>
      <c r="N40" s="90"/>
      <c r="O40" s="75"/>
      <c r="P40" s="76"/>
      <c r="Q40" s="92"/>
      <c r="R40" s="76"/>
    </row>
    <row r="41" spans="2:18" s="3" customFormat="1" ht="12" customHeight="1" thickBot="1">
      <c r="B41" s="29"/>
      <c r="C41" s="33"/>
      <c r="D41" s="78"/>
      <c r="E41" s="79">
        <f t="shared" si="0"/>
        <v>0</v>
      </c>
      <c r="F41" s="78"/>
      <c r="H41" s="29" t="s">
        <v>40</v>
      </c>
      <c r="I41" s="33">
        <v>37.5</v>
      </c>
      <c r="J41" s="80"/>
      <c r="K41" s="92">
        <f t="shared" si="4"/>
        <v>0</v>
      </c>
      <c r="L41" s="80"/>
      <c r="M41" s="73"/>
      <c r="N41" s="29"/>
      <c r="O41" s="33"/>
      <c r="P41" s="82"/>
      <c r="Q41" s="81"/>
      <c r="R41" s="82"/>
    </row>
    <row r="42" spans="2:18" s="3" customFormat="1" ht="12" customHeight="1" thickBot="1">
      <c r="B42" s="29"/>
      <c r="C42" s="33"/>
      <c r="D42" s="78"/>
      <c r="E42" s="79">
        <f t="shared" si="0"/>
        <v>0</v>
      </c>
      <c r="F42" s="78"/>
      <c r="H42" s="29" t="s">
        <v>41</v>
      </c>
      <c r="I42" s="33">
        <v>89.95</v>
      </c>
      <c r="J42" s="80"/>
      <c r="K42" s="92">
        <f t="shared" si="4"/>
        <v>0</v>
      </c>
      <c r="L42" s="80"/>
      <c r="M42" s="73"/>
      <c r="N42" s="29"/>
      <c r="O42" s="33"/>
      <c r="P42" s="82"/>
      <c r="Q42" s="81"/>
      <c r="R42" s="82"/>
    </row>
    <row r="43" spans="2:18" s="3" customFormat="1" ht="12" customHeight="1" thickBot="1">
      <c r="B43" s="29"/>
      <c r="C43" s="33"/>
      <c r="D43" s="78"/>
      <c r="E43" s="79">
        <f t="shared" si="0"/>
        <v>0</v>
      </c>
      <c r="F43" s="78"/>
      <c r="H43" s="29" t="s">
        <v>42</v>
      </c>
      <c r="I43" s="33">
        <v>79</v>
      </c>
      <c r="J43" s="80"/>
      <c r="K43" s="92">
        <f t="shared" si="4"/>
        <v>0</v>
      </c>
      <c r="L43" s="80"/>
      <c r="M43" s="73"/>
      <c r="N43" s="29"/>
      <c r="O43" s="33"/>
      <c r="P43" s="82"/>
      <c r="Q43" s="81"/>
      <c r="R43" s="82"/>
    </row>
    <row r="44" spans="2:18" s="3" customFormat="1" ht="12" customHeight="1" thickBot="1">
      <c r="B44" s="29"/>
      <c r="C44" s="33"/>
      <c r="D44" s="78"/>
      <c r="E44" s="79">
        <f t="shared" si="0"/>
        <v>0</v>
      </c>
      <c r="F44" s="78"/>
      <c r="H44" s="29" t="s">
        <v>43</v>
      </c>
      <c r="I44" s="33">
        <v>18.95</v>
      </c>
      <c r="J44" s="80"/>
      <c r="K44" s="92">
        <f t="shared" si="4"/>
        <v>0</v>
      </c>
      <c r="L44" s="80"/>
      <c r="M44" s="73"/>
      <c r="N44" s="29"/>
      <c r="O44" s="33"/>
      <c r="P44" s="82"/>
      <c r="Q44" s="81"/>
      <c r="R44" s="82"/>
    </row>
    <row r="45" spans="2:18" s="3" customFormat="1" ht="12" customHeight="1" thickBot="1">
      <c r="B45" s="29"/>
      <c r="C45" s="33"/>
      <c r="D45" s="78"/>
      <c r="E45" s="79">
        <f t="shared" si="0"/>
        <v>0</v>
      </c>
      <c r="F45" s="78"/>
      <c r="H45" s="29" t="s">
        <v>44</v>
      </c>
      <c r="I45" s="33">
        <v>49.99</v>
      </c>
      <c r="J45" s="80"/>
      <c r="K45" s="92">
        <f t="shared" si="4"/>
        <v>0</v>
      </c>
      <c r="L45" s="80"/>
      <c r="M45" s="73"/>
      <c r="N45" s="29"/>
      <c r="O45" s="33"/>
      <c r="P45" s="82"/>
      <c r="Q45" s="81"/>
      <c r="R45" s="82"/>
    </row>
    <row r="46" spans="2:18" s="3" customFormat="1" ht="12" customHeight="1" thickBot="1">
      <c r="B46" s="29"/>
      <c r="C46" s="33"/>
      <c r="D46" s="78"/>
      <c r="E46" s="79">
        <f t="shared" si="0"/>
        <v>0</v>
      </c>
      <c r="F46" s="78"/>
      <c r="H46" s="29" t="s">
        <v>45</v>
      </c>
      <c r="I46" s="33">
        <v>33.99</v>
      </c>
      <c r="J46" s="80"/>
      <c r="K46" s="92">
        <f t="shared" si="4"/>
        <v>0</v>
      </c>
      <c r="L46" s="80"/>
      <c r="M46" s="73"/>
      <c r="N46" s="29"/>
      <c r="O46" s="33"/>
      <c r="P46" s="82"/>
      <c r="Q46" s="81"/>
      <c r="R46" s="82"/>
    </row>
    <row r="47" spans="2:18" s="3" customFormat="1" ht="12" customHeight="1" thickBot="1">
      <c r="B47" s="29"/>
      <c r="C47" s="33"/>
      <c r="D47" s="78"/>
      <c r="E47" s="79">
        <f t="shared" si="0"/>
        <v>0</v>
      </c>
      <c r="F47" s="78"/>
      <c r="H47" s="90" t="s">
        <v>47</v>
      </c>
      <c r="I47" s="75">
        <v>32.99</v>
      </c>
      <c r="J47" s="80"/>
      <c r="K47" s="92">
        <f t="shared" si="4"/>
        <v>0</v>
      </c>
      <c r="L47" s="80"/>
      <c r="M47" s="73"/>
      <c r="N47" s="105" t="s">
        <v>149</v>
      </c>
      <c r="O47" s="106"/>
      <c r="P47" s="107"/>
      <c r="Q47" s="107"/>
      <c r="R47" s="107"/>
    </row>
    <row r="48" spans="2:18" s="3" customFormat="1" ht="12" customHeight="1" thickBot="1">
      <c r="B48" s="29"/>
      <c r="C48" s="33"/>
      <c r="D48" s="78"/>
      <c r="E48" s="79">
        <f t="shared" si="0"/>
        <v>0</v>
      </c>
      <c r="F48" s="78"/>
      <c r="H48" s="29" t="s">
        <v>48</v>
      </c>
      <c r="I48" s="33">
        <v>26.5</v>
      </c>
      <c r="J48" s="80"/>
      <c r="K48" s="92">
        <f t="shared" si="4"/>
        <v>0</v>
      </c>
      <c r="L48" s="80"/>
      <c r="M48" s="73"/>
      <c r="N48" s="105" t="s">
        <v>8</v>
      </c>
      <c r="O48" s="106"/>
      <c r="P48" s="107"/>
      <c r="Q48" s="107"/>
      <c r="R48" s="107"/>
    </row>
    <row r="49" spans="2:18" s="7" customFormat="1" ht="14.25" customHeight="1" thickBot="1">
      <c r="B49" s="113" t="s">
        <v>60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 t="s">
        <v>62</v>
      </c>
      <c r="O49" s="114"/>
      <c r="P49" s="114"/>
      <c r="Q49" s="114"/>
      <c r="R49" s="115"/>
    </row>
    <row r="50" spans="2:18" ht="3.75" customHeight="1">
      <c r="B50" s="14"/>
      <c r="H50" s="9"/>
      <c r="I50" s="12"/>
      <c r="J50" s="44"/>
      <c r="K50" s="37"/>
      <c r="L50" s="44"/>
      <c r="M50" s="9"/>
      <c r="N50" s="175" t="s">
        <v>5</v>
      </c>
      <c r="O50" s="116">
        <f>SUM(E9:E48,K9:K27,K30:K48,Q9:Q35)</f>
        <v>0</v>
      </c>
      <c r="P50" s="116"/>
      <c r="Q50" s="116"/>
      <c r="R50" s="117"/>
    </row>
    <row r="51" spans="2:18" ht="15.75" thickBot="1">
      <c r="B51" s="94" t="s">
        <v>86</v>
      </c>
      <c r="H51" s="5"/>
      <c r="I51" s="13"/>
      <c r="J51" s="45"/>
      <c r="K51" s="39"/>
      <c r="L51" s="52"/>
      <c r="M51" s="5"/>
      <c r="N51" s="175"/>
      <c r="O51" s="118"/>
      <c r="P51" s="118"/>
      <c r="Q51" s="118"/>
      <c r="R51" s="119"/>
    </row>
    <row r="52" spans="2:18" ht="9.75" customHeight="1" thickBot="1">
      <c r="B52" s="15" t="s">
        <v>87</v>
      </c>
      <c r="H52" s="5"/>
      <c r="I52" s="13"/>
      <c r="J52" s="46"/>
      <c r="L52" s="126"/>
      <c r="M52" s="25"/>
      <c r="N52" s="122" t="s">
        <v>6</v>
      </c>
      <c r="O52" s="120">
        <f>+(O50*7%)</f>
        <v>0</v>
      </c>
      <c r="P52" s="120"/>
      <c r="Q52" s="120"/>
      <c r="R52" s="121"/>
    </row>
    <row r="53" spans="2:18" ht="9.9499999999999993" customHeight="1" thickBot="1">
      <c r="B53" s="95" t="s">
        <v>83</v>
      </c>
      <c r="H53" s="4"/>
      <c r="I53" s="13"/>
      <c r="J53" s="46"/>
      <c r="L53" s="126"/>
      <c r="M53" s="25"/>
      <c r="N53" s="122"/>
      <c r="O53" s="120"/>
      <c r="P53" s="120"/>
      <c r="Q53" s="120"/>
      <c r="R53" s="121"/>
    </row>
    <row r="54" spans="2:18" ht="9.9499999999999993" customHeight="1" thickBot="1">
      <c r="B54" s="15" t="s">
        <v>88</v>
      </c>
      <c r="H54" s="4"/>
      <c r="I54" s="13"/>
      <c r="J54" s="45"/>
      <c r="K54" s="37"/>
      <c r="L54" s="44"/>
      <c r="M54" s="5"/>
      <c r="N54" s="122" t="s">
        <v>7</v>
      </c>
      <c r="O54" s="120">
        <v>2.5</v>
      </c>
      <c r="P54" s="120"/>
      <c r="Q54" s="120"/>
      <c r="R54" s="121"/>
    </row>
    <row r="55" spans="2:18" ht="9.9499999999999993" customHeight="1" thickBot="1">
      <c r="B55" s="15" t="s">
        <v>89</v>
      </c>
      <c r="H55" s="4"/>
      <c r="I55" s="13"/>
      <c r="J55" s="45"/>
      <c r="K55" s="38"/>
      <c r="L55" s="45"/>
      <c r="M55" s="5"/>
      <c r="N55" s="123"/>
      <c r="O55" s="120"/>
      <c r="P55" s="120"/>
      <c r="Q55" s="120"/>
      <c r="R55" s="121"/>
    </row>
    <row r="56" spans="2:18" ht="9" customHeight="1">
      <c r="B56" s="15" t="s">
        <v>90</v>
      </c>
      <c r="H56" s="2"/>
      <c r="N56" s="65"/>
      <c r="O56" s="124">
        <f>+O50+O54+O52</f>
        <v>2.5</v>
      </c>
      <c r="P56" s="124"/>
      <c r="Q56" s="124"/>
      <c r="R56" s="124"/>
    </row>
    <row r="57" spans="2:18" ht="7.5" customHeight="1" thickBot="1">
      <c r="B57" s="60"/>
      <c r="O57" s="125"/>
      <c r="P57" s="125"/>
      <c r="Q57" s="125"/>
      <c r="R57" s="125"/>
    </row>
    <row r="58" spans="2:18" ht="15.75" customHeight="1">
      <c r="B58" s="8" t="s">
        <v>85</v>
      </c>
      <c r="H58" s="1" t="s">
        <v>61</v>
      </c>
      <c r="O58" s="110"/>
      <c r="P58" s="110"/>
    </row>
  </sheetData>
  <mergeCells count="34">
    <mergeCell ref="N54:N55"/>
    <mergeCell ref="O54:R55"/>
    <mergeCell ref="O56:R57"/>
    <mergeCell ref="O58:P58"/>
    <mergeCell ref="B49:M49"/>
    <mergeCell ref="N49:R49"/>
    <mergeCell ref="N50:N51"/>
    <mergeCell ref="O50:R51"/>
    <mergeCell ref="L52:L53"/>
    <mergeCell ref="N52:N53"/>
    <mergeCell ref="O52:R53"/>
    <mergeCell ref="N48:R48"/>
    <mergeCell ref="B4:F4"/>
    <mergeCell ref="I4:L4"/>
    <mergeCell ref="O4:R4"/>
    <mergeCell ref="B5:F5"/>
    <mergeCell ref="I5:L5"/>
    <mergeCell ref="O5:R5"/>
    <mergeCell ref="B6:F6"/>
    <mergeCell ref="I6:L6"/>
    <mergeCell ref="O6:R6"/>
    <mergeCell ref="N36:R39"/>
    <mergeCell ref="N47:R47"/>
    <mergeCell ref="H28:I29"/>
    <mergeCell ref="J28:J29"/>
    <mergeCell ref="L28:L29"/>
    <mergeCell ref="B3:F3"/>
    <mergeCell ref="I3:L3"/>
    <mergeCell ref="O3:R3"/>
    <mergeCell ref="B1:F2"/>
    <mergeCell ref="I1:L1"/>
    <mergeCell ref="O1:R1"/>
    <mergeCell ref="I2:L2"/>
    <mergeCell ref="O2:R2"/>
  </mergeCells>
  <hyperlinks>
    <hyperlink ref="B5" r:id="rId1" xr:uid="{00000000-0004-0000-0100-000000000000}"/>
    <hyperlink ref="B6" r:id="rId2" xr:uid="{00000000-0004-0000-0100-000001000000}"/>
    <hyperlink ref="B53" r:id="rId3" xr:uid="{00000000-0004-0000-0100-000002000000}"/>
  </hyperlinks>
  <pageMargins left="0.38" right="0.36" top="0.14000000000000001" bottom="0.06" header="0.14000000000000001" footer="0.06"/>
  <pageSetup scale="90" orientation="landscape" r:id="rId4"/>
  <drawing r:id="rId5"/>
  <legacyDrawing r:id="rId6"/>
  <controls>
    <mc:AlternateContent xmlns:mc="http://schemas.openxmlformats.org/markup-compatibility/2006">
      <mc:Choice Requires="x14">
        <control shapeId="2050" r:id="rId7" name="CheckBox1">
          <controlPr defaultSize="0" autoLine="0" r:id="rId8">
            <anchor moveWithCells="1">
              <from>
                <xdr:col>13</xdr:col>
                <xdr:colOff>38100</xdr:colOff>
                <xdr:row>6</xdr:row>
                <xdr:rowOff>38100</xdr:rowOff>
              </from>
              <to>
                <xdr:col>13</xdr:col>
                <xdr:colOff>171450</xdr:colOff>
                <xdr:row>6</xdr:row>
                <xdr:rowOff>180975</xdr:rowOff>
              </to>
            </anchor>
          </controlPr>
        </control>
      </mc:Choice>
      <mc:Fallback>
        <control shapeId="2050" r:id="rId7" name="CheckBox1"/>
      </mc:Fallback>
    </mc:AlternateContent>
    <mc:AlternateContent xmlns:mc="http://schemas.openxmlformats.org/markup-compatibility/2006">
      <mc:Choice Requires="x14">
        <control shapeId="2049" r:id="rId9" name="CheckBox2">
          <controlPr defaultSize="0" autoLine="0" r:id="rId10">
            <anchor moveWithCells="1">
              <from>
                <xdr:col>7</xdr:col>
                <xdr:colOff>38100</xdr:colOff>
                <xdr:row>6</xdr:row>
                <xdr:rowOff>47625</xdr:rowOff>
              </from>
              <to>
                <xdr:col>7</xdr:col>
                <xdr:colOff>180975</xdr:colOff>
                <xdr:row>6</xdr:row>
                <xdr:rowOff>180975</xdr:rowOff>
              </to>
            </anchor>
          </controlPr>
        </control>
      </mc:Choice>
      <mc:Fallback>
        <control shapeId="2049" r:id="rId9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Order Form</vt:lpstr>
      <vt:lpstr>Order Form (2)</vt:lpstr>
      <vt:lpstr>'Order Form'!Print_Area</vt:lpstr>
      <vt:lpstr>'Order Form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JM Pepper</cp:lastModifiedBy>
  <cp:lastPrinted>2019-07-11T00:11:45Z</cp:lastPrinted>
  <dcterms:created xsi:type="dcterms:W3CDTF">2015-08-12T04:31:51Z</dcterms:created>
  <dcterms:modified xsi:type="dcterms:W3CDTF">2025-03-19T22:24:29Z</dcterms:modified>
</cp:coreProperties>
</file>